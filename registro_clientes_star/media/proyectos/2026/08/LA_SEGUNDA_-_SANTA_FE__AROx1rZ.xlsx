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yectos de Venta V2" sheetId="1" r:id="rId5"/>
    <sheet state="hidden" name="Proyectos de Venta (ORIGINAL)" sheetId="2" r:id="rId6"/>
    <sheet state="visible" name="Proyectos de Venta" sheetId="3" r:id="rId7"/>
    <sheet state="visible" name="mantenimiento" sheetId="4" r:id="rId8"/>
    <sheet state="visible" name="DEALTEC" sheetId="5" r:id="rId9"/>
    <sheet state="visible" name="DMA" sheetId="6" r:id="rId10"/>
    <sheet state="visible" name="Análisis Financiero" sheetId="7" r:id="rId11"/>
    <sheet state="visible" name="Simulador MK" sheetId="8" r:id="rId12"/>
  </sheets>
  <definedNames/>
  <calcPr/>
</workbook>
</file>

<file path=xl/sharedStrings.xml><?xml version="1.0" encoding="utf-8"?>
<sst xmlns="http://schemas.openxmlformats.org/spreadsheetml/2006/main" count="666" uniqueCount="217">
  <si>
    <t xml:space="preserve">  GESTIÓN DE PROYECTOS DE VENTA  ·  Argentina</t>
  </si>
  <si>
    <t>Actualizado: 21/05/2026   |   🔵 Inputs en azul  |  ⚫ Fórmulas en negro  |  🟢 Resultados clave  |  MK variable — recomendado 46%</t>
  </si>
  <si>
    <t>⚙  PARÁMETROS — Argentina 2025</t>
  </si>
  <si>
    <t>DÓLAR</t>
  </si>
  <si>
    <t>IVA (%)</t>
  </si>
  <si>
    <t>MK (%)</t>
  </si>
  <si>
    <t>MK MÍNIMO (%)</t>
  </si>
  <si>
    <t>COMISIÓN (%)</t>
  </si>
  <si>
    <t>COMISION (%)</t>
  </si>
  <si>
    <t>• El 46% es el recomendado por la empresa
• Cada fila acepta un MK distinto
• El semáforo alerta si estás por debajo del mínimo</t>
  </si>
  <si>
    <t>INFLACIÓN ANUAL</t>
  </si>
  <si>
    <t>IMPREVISTOS (%)</t>
  </si>
  <si>
    <t>CUOTA VARIABLE (Meses)</t>
  </si>
  <si>
    <t>CUOTA (Meses)</t>
  </si>
  <si>
    <t>CANT. AÑOS PROY.</t>
  </si>
  <si>
    <t>COMODATO %</t>
  </si>
  <si>
    <t>N°</t>
  </si>
  <si>
    <t>PRODUCTO / SERVICIO</t>
  </si>
  <si>
    <t>PROVEEDOR</t>
  </si>
  <si>
    <t>ESTADO</t>
  </si>
  <si>
    <t>CANT.</t>
  </si>
  <si>
    <t>COSTO
USD</t>
  </si>
  <si>
    <t>COSTO
ARS</t>
  </si>
  <si>
    <t>IMPREVISTOS</t>
  </si>
  <si>
    <t>COSTO REAL
SIN IVA</t>
  </si>
  <si>
    <t>COSTO REAL
CON IVA</t>
  </si>
  <si>
    <t>MK
(%)</t>
  </si>
  <si>
    <t>P. VENTA
SIN IVA</t>
  </si>
  <si>
    <t>P. VENTA
CON IVA</t>
  </si>
  <si>
    <t>UTILIDAD
ARS</t>
  </si>
  <si>
    <t>COMISIÓN</t>
  </si>
  <si>
    <t>COMISION</t>
  </si>
  <si>
    <t>PRUEBAS</t>
  </si>
  <si>
    <t>SISTEMA DE ALARMA</t>
  </si>
  <si>
    <t>INSUMOS MENORES</t>
  </si>
  <si>
    <t>PRUEBA 2</t>
  </si>
  <si>
    <t>Central de Alarma DSC PowerSeries NEO (HS2016/HS2032/HS2064/HS2128 o similar, según cantidad de zonas + 25% holgura)</t>
  </si>
  <si>
    <t>▶  TOTALES DEL PROYECTO</t>
  </si>
  <si>
    <t>Gabinete metálico para Panel de Alarma</t>
  </si>
  <si>
    <t>Gabinete para fuente de alimentación de sirenas</t>
  </si>
  <si>
    <t>COSTOS ADICIONALES DEL PROYECTO</t>
  </si>
  <si>
    <t>Módulo de Salida de Alta Corriente DSC HSM2204</t>
  </si>
  <si>
    <t>MANO DE OBRA</t>
  </si>
  <si>
    <t>CANT.
TÉCNICOS</t>
  </si>
  <si>
    <t>DÍAS
HÁBILES</t>
  </si>
  <si>
    <t>CANT. HORAS
(×8 hs/día)</t>
  </si>
  <si>
    <t>VALOR
HORA USD</t>
  </si>
  <si>
    <t>TOTAL USD</t>
  </si>
  <si>
    <t>DÓLAR + IVA</t>
  </si>
  <si>
    <t>Placa Expansora de Zonas Cableadas DSC HSM2108</t>
  </si>
  <si>
    <t>TOTAL PESOS</t>
  </si>
  <si>
    <t>PESOS + IVA</t>
  </si>
  <si>
    <t>Fuente de alimentación auxiliar supervisada + juego de relay</t>
  </si>
  <si>
    <t>Sensor de Movimiento PIR doble tecnología, anti-mascota (38kg), 15m/90°</t>
  </si>
  <si>
    <t>Detector inalámbrico de Rotura de Vidrios (360°, 7,6m)</t>
  </si>
  <si>
    <t>Contactos Magnéticos inalámbricos de apertura de puertas</t>
  </si>
  <si>
    <t>TOTAL MANO DE OBRA</t>
  </si>
  <si>
    <t xml:space="preserve">Llaveros inalámbricos de apertura/cierre/pánico </t>
  </si>
  <si>
    <t>SISTEMA DE INCENDIO</t>
  </si>
  <si>
    <t>KILÓMETROS / TRASLADOS</t>
  </si>
  <si>
    <t>KMS
(ida)</t>
  </si>
  <si>
    <t>KMS
(regreso)</t>
  </si>
  <si>
    <t>CANT. KMS
(kms × 2)</t>
  </si>
  <si>
    <t>VALOR
KM USD</t>
  </si>
  <si>
    <t>Sensores de Humo Fotoeléctrico, 2 hilos, 12/24 Vcc</t>
  </si>
  <si>
    <t>Sensores Térmicos de Incendio, 2 hilos, 12/24 Vcc</t>
  </si>
  <si>
    <t>Avisadores Manuales de Incendio (NBG 12LSP Notifier o similar)</t>
  </si>
  <si>
    <t>Sirena de Aviso de Incendio con estrobo (110dB, selección de candelas)</t>
  </si>
  <si>
    <t>SIRENA</t>
  </si>
  <si>
    <t>TOTAL KILÓMETROS</t>
  </si>
  <si>
    <t>Sirena Piezoeléctrica interior (120dB)</t>
  </si>
  <si>
    <t>COSTO DE ENVIO</t>
  </si>
  <si>
    <t>ENCOMIENDA</t>
  </si>
  <si>
    <t>Activo</t>
  </si>
  <si>
    <t>Sirena Exterior Magneto dinámica con Flash (118dB, 30W+Flash)</t>
  </si>
  <si>
    <t>COMUNICACION</t>
  </si>
  <si>
    <t>COSTO PROYECTO FINAL</t>
  </si>
  <si>
    <t>PROYECTO</t>
  </si>
  <si>
    <t>Comunicador de Alarma celular 3G/2G + Ethernet, compatible DSC PowerSeries NEO</t>
  </si>
  <si>
    <t>DESCRIPCIÓN</t>
  </si>
  <si>
    <t>Licencia/habilitación App Connect Alarm</t>
  </si>
  <si>
    <t>PRODUCTOS / SERVICIO</t>
  </si>
  <si>
    <t>SISTEMA DE CCTV</t>
  </si>
  <si>
    <t>NVR Hikvision DS-7608NI-K2/8P (o DS-7616NI-K2/16P / DS-7632NI-K2/16P</t>
  </si>
  <si>
    <t>TOTAL</t>
  </si>
  <si>
    <t>Discos rígidos SATA para NVR (uso 24/7, hasta 6TB c/u)</t>
  </si>
  <si>
    <t>Bandeja perforada para rack</t>
  </si>
  <si>
    <t>Cámaras IP Domo interior HIKVISION DS-2CD1343G0-I</t>
  </si>
  <si>
    <t>Cámaras IP Bullet exterior HIKVISION DS-2CD1043G2-LIUF(2.8mm)</t>
  </si>
  <si>
    <t>Switch PoE adicional (si se excede la capacidad PoE nativa del NVR)</t>
  </si>
  <si>
    <t>Cable UTP Cat6 (interior/exterior según tramo)</t>
  </si>
  <si>
    <t>Conectores RJ45 y accesorios de terminación</t>
  </si>
  <si>
    <t>ALIMENTACION Y TABLEROS</t>
  </si>
  <si>
    <t>Tablero metálico dedicado a Intrusión/Incendio (con disyuntor, térmica, fusible, borneras)</t>
  </si>
  <si>
    <t>Tablero metálico dedicado a CCTV (mismas características, independiente del anterior)</t>
  </si>
  <si>
    <t>Relay externo para accionamiento de sirenas desde PGM/BELL</t>
  </si>
  <si>
    <t>COSTO DE ENVÍO</t>
  </si>
  <si>
    <t>DESCRIPCION</t>
  </si>
  <si>
    <t>COSTO REAL CON IVA</t>
  </si>
  <si>
    <t>Cancelado</t>
  </si>
  <si>
    <t xml:space="preserve">(HS2032-HS2ICN) DSC Neo Central de 8 zonas c/teclado HS2ICN </t>
  </si>
  <si>
    <t>DEALTEC</t>
  </si>
  <si>
    <t xml:space="preserve">(PC5003C) DSC Gabinete Expansor Grande PowerSeries </t>
  </si>
  <si>
    <t>(HSM2204) DSC Neo Módulo de salida de alta corriente</t>
  </si>
  <si>
    <t>(HSM2108) Modulo Expansor de 8 zonas DSC - Unidades</t>
  </si>
  <si>
    <t>(TRA-ALARMA) Transformador para Alarmas DSC</t>
  </si>
  <si>
    <t xml:space="preserve">(LC-104-PIMW-WNL) DSC Detector de Doble Tecnología Digital </t>
  </si>
  <si>
    <t>(PG9922) Detector inalámbrico de rotura de vidrio Power G</t>
  </si>
  <si>
    <t>PG9303) Contacto magnetico ultradelgado color blanco</t>
  </si>
  <si>
    <t>(PG9939) Llavero de 4 canales programables</t>
  </si>
  <si>
    <t xml:space="preserve">(GN-BKP127) Bateria Keypower 12V 7A </t>
  </si>
  <si>
    <t xml:space="preserve">(HSM2HOST9) Transceptor inalámbrico bidireccional power G </t>
  </si>
  <si>
    <t xml:space="preserve">(DS-PDSMK-4) Hikvision Detector de Humo Cableado (4 Hilos) </t>
  </si>
  <si>
    <t>(DT-4323-4AR) Sensor de temperatura 4 hilos</t>
  </si>
  <si>
    <t>(AV-M103D) Avisador manual de doble acción</t>
  </si>
  <si>
    <t xml:space="preserve">(FA-411-24) Sirena de Incendio Interior con Strobo Dlux </t>
  </si>
  <si>
    <t>📊  ANÁLISIS FINANCIERO  —  Argentina 2025</t>
  </si>
  <si>
    <t>PARÁMETROS EN USO  (fuente: hoja «Proyectos de Venta»)</t>
  </si>
  <si>
    <t>DÓLAR (ARS)</t>
  </si>
  <si>
    <t xml:space="preserve">(SD-100) Sirena Piezoeléctrica Bitonal Interior con Tamper </t>
  </si>
  <si>
    <t>3 modelos de panel para seleccionar</t>
  </si>
  <si>
    <t>HS2032PCBARG PANEL 8 ZONAS EXPANDIBLE A 32 NEO</t>
  </si>
  <si>
    <t>DMA</t>
  </si>
  <si>
    <t>Tipo de cambio oficial</t>
  </si>
  <si>
    <t>(SD-1150MD) Dumont Sirena Exterior con Flash</t>
  </si>
  <si>
    <t>HS2064PCB HS2064PCBCH PANEL 8 Z EXP A 64Z NEO</t>
  </si>
  <si>
    <t>Aprobado</t>
  </si>
  <si>
    <t>IVA Argentina</t>
  </si>
  <si>
    <t>MK RECOMENDADO (%)</t>
  </si>
  <si>
    <t>Estipulado por la empresa</t>
  </si>
  <si>
    <t xml:space="preserve">(TL280LE-LAT) DSC Comunicador celular de doble vínculo </t>
  </si>
  <si>
    <t>Umbral de quiebre</t>
  </si>
  <si>
    <t>Estimación Argentina</t>
  </si>
  <si>
    <t>Buffer riesgo cambiario</t>
  </si>
  <si>
    <t>CUOTA MESES</t>
  </si>
  <si>
    <t>Plazo de financiación</t>
  </si>
  <si>
    <t>AÑOS PROYECTO</t>
  </si>
  <si>
    <t>(DS-7608NXI-K2/8P(D)) Hikvision NVR de 8 Canales POE 4K</t>
  </si>
  <si>
    <t>Horizonte de análisis</t>
  </si>
  <si>
    <t>💰  KPIs TOTALES DEL PROYECTO</t>
  </si>
  <si>
    <t>2128PCBARG PANEL 8 ZONAS EXP A 128ZONAS NEO</t>
  </si>
  <si>
    <t>DSC, GAB METAL G3 POWERSERIES PRO 45.9x41.4x10.3cm</t>
  </si>
  <si>
    <t>KPI</t>
  </si>
  <si>
    <t>VALOR</t>
  </si>
  <si>
    <t>Total Costo USD</t>
  </si>
  <si>
    <t>Total Costo ARS</t>
  </si>
  <si>
    <t>Costo Real c/Imprevistos</t>
  </si>
  <si>
    <t>Total P. Venta c/IVA</t>
  </si>
  <si>
    <t>Utilidad Total ARS</t>
  </si>
  <si>
    <t>MK Promedio Ponderado</t>
  </si>
  <si>
    <t xml:space="preserve">(WD-HDD6000P) Wester Digital HDD Sata3 6TB Purple </t>
  </si>
  <si>
    <t>📅  PROYECCIÓN ANUAL CON INFLACIÓN &amp; CUOTAS  (contexto Argentina)</t>
  </si>
  <si>
    <t>AÑO</t>
  </si>
  <si>
    <t>P. VENTA PROYECTO
(ARS s/IVA)</t>
  </si>
  <si>
    <t>(GLC-BAND-FIJA-001) GLC Bandeja Fija de 1 Unidad 300mm</t>
  </si>
  <si>
    <t>FACTOR
INFLACIÓN</t>
  </si>
  <si>
    <t xml:space="preserve">HS2LCD N TECLADO ALFANUMERICO LCD POWER NEO </t>
  </si>
  <si>
    <t>TOTAL
INFLACIONADO</t>
  </si>
  <si>
    <t>CUOTA
MENSUAL</t>
  </si>
  <si>
    <t>CUOTA
CON IVA</t>
  </si>
  <si>
    <t>CUOTA
EN USD</t>
  </si>
  <si>
    <t>ROI
ESTIMADO</t>
  </si>
  <si>
    <t>VARIABLE</t>
  </si>
  <si>
    <t>(DS-2CD1343G2-LIUF) Hikvision Cámara IP Domo 4Mpx con Audio</t>
  </si>
  <si>
    <t>🔮  SIMULADOR DE ESCENARIOS MK  —  Argentina · IVA 21%</t>
  </si>
  <si>
    <t>(DS-2CD1043G2-LIUF) Hikvision Cámara IP Bullet 4Mpx con Audio</t>
  </si>
  <si>
    <t>HSM2204 FUENTE DE ALIMENTACION C/4 SALIDAS NEO</t>
  </si>
  <si>
    <t>Ingresá el Costo Real en ARS (sin IVA) en B4 y simulá el precio final y utilidad para distintos niveles de MK</t>
  </si>
  <si>
    <t>(XL600-CPR-B) ZKTeco Cable UTP Cat. 6 305mts 100% Cobre EXTERIOR</t>
  </si>
  <si>
    <t>En Revisión</t>
  </si>
  <si>
    <t>COSTO REAL (ARS sin IVA)</t>
  </si>
  <si>
    <t xml:space="preserve">HSM2108 EXPANSOR DE 8 ZONAS POWER NEO </t>
  </si>
  <si>
    <t>vario</t>
  </si>
  <si>
    <t>ESCENARIO</t>
  </si>
  <si>
    <t>Año 1</t>
  </si>
  <si>
    <t>% SOBRE
COSTO</t>
  </si>
  <si>
    <t>EVALUACIÓN</t>
  </si>
  <si>
    <t>🔴 Bajo mínimo empresa</t>
  </si>
  <si>
    <t>HSM2300 FUENTE DE ALIMENTACION NEO</t>
  </si>
  <si>
    <t>LC-204 DETECTOR PIR DOBLE TECH MASC 15KGS</t>
  </si>
  <si>
    <t>Año 2</t>
  </si>
  <si>
    <t>🔴 Por debajo del mínimo — no operar</t>
  </si>
  <si>
    <t>🔴 Mínimo empresa</t>
  </si>
  <si>
    <t>PG9922 DETECTOR ROTURA DE VIDRIOS WLS NEO</t>
  </si>
  <si>
    <t>?</t>
  </si>
  <si>
    <t>⚠️ En el límite mínimo — riesgo alto</t>
  </si>
  <si>
    <t>Año 3</t>
  </si>
  <si>
    <t>🟡 Conservador</t>
  </si>
  <si>
    <t>PG9945 CONTACTO MAGNETICO COMUN NEO</t>
  </si>
  <si>
    <t>✅ Viable — por debajo del objetivo empresa</t>
  </si>
  <si>
    <t>🟡 Moderado</t>
  </si>
  <si>
    <t>📌  CRITERIOS PARA ARGENTINA:
• Dólar $1.420 ARS: Se recomienda usar dólar MEP o CCL para proyectos que impliquen costos en dólares reales.
• IVA 21%: Estándar Argentina — verificar exenciones según rubro (servicios digitales, software exportado, etc.).
• MK 46%: Estipulado por la empresa. Es variable por proyecto — el semáforo alerta si baja del 30% mínimo.
• Imprevistos 8%: Colchón ampliado por volatilidad cambiaria y riesgo inflacionario.
• Inflación ~50%: Para proyectos plurianuales se recomienda cotizar en dólares o ajustar precios semestralmente.
• Horizonte 2 años: Dado el contexto macro, se desaconseja proyectar más de 2 años en pesos sin cláusula de ajuste.</t>
  </si>
  <si>
    <t>PG9929 CONTROL REMOTO 4 BOTONES NEO</t>
  </si>
  <si>
    <t>⭐ RECOMENDADO EMPRESA</t>
  </si>
  <si>
    <t>PW7-12	BATERIA - POWER-PLUS 12V 7 AMPERES</t>
  </si>
  <si>
    <t>✅ RECOMENDADO POR LA EMPRESA — MK estipulado 46%</t>
  </si>
  <si>
    <t>🟢 Alto</t>
  </si>
  <si>
    <t>💎 Premium — justificar con propuesta de valor</t>
  </si>
  <si>
    <t>💎 Premium</t>
  </si>
  <si>
    <t>SM2HOST9 TRANSCEPTOR WLSS P/ NEO</t>
  </si>
  <si>
    <t>⚡ Alto Valor</t>
  </si>
  <si>
    <t>HY-C134-CTXF DETECTOR DE HUMO FOTOELECTRICO 4 HILO - DAHUA</t>
  </si>
  <si>
    <t>HY-C136-CTXF DETECTOR DE TEMPERATURA 4 HILOS - 12V - DAHUA</t>
  </si>
  <si>
    <t>HY-C121 ESTACION MANUAL CONVENCIONAL 2 HILOS C/BAS - DAHUA</t>
  </si>
  <si>
    <t>HY-C151 SIRENA CON STROBO CONVENCIONAL 2 HILOS C/B - DAHUA</t>
  </si>
  <si>
    <t>MP100 SIRENA INT PIEZO 1 TONO - ALONZO</t>
  </si>
  <si>
    <t>SIR-300T SIRENA EXTERIOR PARLANTE C/FLASH 3 TONOS - DMAX</t>
  </si>
  <si>
    <t>TL2803GE-LAT COMUNICADOR INTERNET/3G SERIE NEO</t>
  </si>
  <si>
    <t>NVR4108HS-8P-4KS3 NVR 8 CH 1HDD 8 POE 4K - DAHUA</t>
  </si>
  <si>
    <t>2TB-WD-B DISCO 2TB WD BLUE</t>
  </si>
  <si>
    <t>PFC610-4D RACK MOUNT TRAY</t>
  </si>
  <si>
    <t>IPC-HDW1431T1-0280B DOMO IP 4MP LENTE 2.8mm - DAHUA</t>
  </si>
  <si>
    <t>IPC-HFW1439TL1P-A-IL-0280BS6 BULLET IP 4MP LENTE 2 - DAHUA</t>
  </si>
  <si>
    <t>CS4220-16GT-240 SWITCH 20 IN 10/100 16 POE+ 240 WA - DAHUA</t>
  </si>
  <si>
    <t>PFM920I-6UN-CN-BLANCO CABLE UTP CAT6 INT 305MT - DAHUA</t>
  </si>
  <si>
    <t>PFM976-631 CONECTOR RJ45 CAT6 CAJA x 100 PCS</t>
  </si>
  <si>
    <t>Accesorios Y 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</si>
</sst>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&quot;USD $&quot;#,##0.00"/>
    <numFmt numFmtId="166" formatCode="&quot;ARS $&quot;#,##0"/>
    <numFmt numFmtId="167" formatCode="0.0%"/>
    <numFmt numFmtId="168" formatCode="0.000\x"/>
  </numFmts>
  <fonts count="4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1.0"/>
      <color rgb="FFFFFFFF"/>
      <name val="Arial"/>
    </font>
    <font>
      <b/>
      <sz val="9.0"/>
      <color rgb="FF0D1F3C"/>
      <name val="Arial"/>
    </font>
    <font>
      <b/>
      <sz val="11.0"/>
      <color rgb="FF0000FF"/>
      <name val="Arial"/>
    </font>
    <font>
      <b/>
      <sz val="12.0"/>
      <color rgb="FF003087"/>
      <name val="Arial"/>
    </font>
    <font>
      <i/>
      <sz val="8.0"/>
      <color rgb="FF003087"/>
      <name val="Arial"/>
    </font>
    <font>
      <b/>
      <sz val="9.0"/>
      <color rgb="FFFFFFFF"/>
      <name val="Arial"/>
    </font>
    <font>
      <sz val="9.0"/>
      <color rgb="FF999999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F7B6C"/>
      <name val="Arial"/>
    </font>
    <font>
      <b/>
      <sz val="10.0"/>
      <color rgb="FF0000FF"/>
      <name val="Arial"/>
    </font>
    <font>
      <sz val="10.0"/>
      <color rgb="FF666666"/>
      <name val="Arial"/>
    </font>
    <font>
      <b/>
      <sz val="10.0"/>
      <color rgb="FF1A6B3A"/>
      <name val="Arial"/>
    </font>
    <font>
      <b/>
      <sz val="10.0"/>
      <color rgb="FFFFFFFF"/>
      <name val="Arial"/>
    </font>
    <font>
      <b/>
      <sz val="11.0"/>
      <color rgb="FFF9C74F"/>
      <name val="Arial"/>
    </font>
    <font>
      <b/>
      <sz val="12.0"/>
      <color rgb="FFFFFFFF"/>
      <name val="Arial"/>
    </font>
    <font>
      <sz val="11.0"/>
      <color theme="1"/>
      <name val="Calibri"/>
    </font>
    <font>
      <b/>
      <color rgb="FF0000FF"/>
      <name val="Arial"/>
    </font>
    <font>
      <b/>
      <color theme="1"/>
      <name val="Arial"/>
    </font>
    <font>
      <b/>
      <color rgb="FF1C5E3A"/>
      <name val="Arial"/>
    </font>
    <font>
      <b/>
      <color rgb="FFFFFFFF"/>
      <name val="Arial"/>
    </font>
    <font>
      <color theme="1"/>
      <name val="Arial"/>
    </font>
    <font>
      <b/>
      <color rgb="FF7B3200"/>
      <name val="Arial"/>
    </font>
    <font>
      <color theme="1"/>
      <name val="Calibri"/>
      <scheme val="minor"/>
    </font>
    <font>
      <color rgb="FF0000FF"/>
      <name val="Arial"/>
    </font>
    <font>
      <b/>
      <sz val="10.0"/>
      <color rgb="FF008000"/>
      <name val="Arial"/>
    </font>
    <font>
      <b/>
      <sz val="11.0"/>
      <color rgb="FF0D1F3C"/>
      <name val="Arial"/>
    </font>
    <font>
      <b/>
      <sz val="11.0"/>
      <color rgb="FF1A6B3A"/>
      <name val="Arial"/>
    </font>
    <font>
      <b/>
      <sz val="10.0"/>
      <color rgb="FF0D1F3C"/>
      <name val="Arial"/>
    </font>
    <font>
      <sz val="10.0"/>
      <color rgb="FFC0392B"/>
      <name val="Arial"/>
    </font>
    <font>
      <b/>
      <sz val="13.0"/>
      <color rgb="FFFFFFFF"/>
      <name val="Arial"/>
    </font>
    <font>
      <b/>
      <sz val="10.0"/>
      <color rgb="FFC0392B"/>
      <name val="Arial"/>
    </font>
    <font>
      <b/>
      <sz val="12.0"/>
      <color rgb="FF0000FF"/>
      <name val="Arial"/>
    </font>
    <font>
      <b/>
      <sz val="10.0"/>
      <color rgb="FF5B2D8E"/>
      <name val="Arial"/>
    </font>
    <font>
      <sz val="9.0"/>
      <color rgb="FF0D1F3C"/>
      <name val="Arial"/>
    </font>
    <font>
      <i/>
      <sz val="9.0"/>
      <color rgb="FFC0392B"/>
      <name val="Arial"/>
    </font>
    <font>
      <i/>
      <sz val="9.0"/>
      <color rgb="FF0D1F3C"/>
      <name val="Arial"/>
    </font>
    <font>
      <i/>
      <sz val="8.0"/>
      <color rgb="FF333333"/>
      <name val="Arial"/>
    </font>
    <font>
      <b/>
      <sz val="10.0"/>
      <color rgb="FF003087"/>
      <name val="Arial"/>
    </font>
    <font>
      <b/>
      <sz val="9.0"/>
      <color rgb="FF1A6B3A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3087"/>
        <bgColor rgb="FF003087"/>
      </patternFill>
    </fill>
    <fill>
      <patternFill patternType="solid">
        <fgColor rgb="FFF5F5F5"/>
        <bgColor rgb="FFF5F5F5"/>
      </patternFill>
    </fill>
    <fill>
      <patternFill patternType="solid">
        <fgColor rgb="FF74ACDF"/>
        <bgColor rgb="FF74ACDF"/>
      </patternFill>
    </fill>
    <fill>
      <patternFill patternType="solid">
        <fgColor rgb="FFD0E4F5"/>
        <bgColor rgb="FFD0E4F5"/>
      </patternFill>
    </fill>
    <fill>
      <patternFill patternType="solid">
        <fgColor rgb="FFF0F8FF"/>
        <bgColor rgb="FFF0F8FF"/>
      </patternFill>
    </fill>
    <fill>
      <patternFill patternType="solid">
        <fgColor rgb="FFFFF0C0"/>
        <bgColor rgb="FFFFF0C0"/>
      </patternFill>
    </fill>
    <fill>
      <patternFill patternType="solid">
        <fgColor rgb="FFEAF4FF"/>
        <bgColor rgb="FFEAF4FF"/>
      </patternFill>
    </fill>
    <fill>
      <patternFill patternType="solid">
        <fgColor rgb="FFF0F7FF"/>
        <bgColor rgb="FFF0F7FF"/>
      </patternFill>
    </fill>
    <fill>
      <patternFill patternType="solid">
        <fgColor rgb="FFFFF8E0"/>
        <bgColor rgb="FFFFF8E0"/>
      </patternFill>
    </fill>
    <fill>
      <patternFill patternType="solid">
        <fgColor rgb="FFE8F8F0"/>
        <bgColor rgb="FFE8F8F0"/>
      </patternFill>
    </fill>
    <fill>
      <patternFill patternType="solid">
        <fgColor rgb="FFD5F5E3"/>
        <bgColor rgb="FFD5F5E3"/>
      </patternFill>
    </fill>
    <fill>
      <patternFill patternType="solid">
        <fgColor rgb="FF1C5E3A"/>
        <bgColor rgb="FF1C5E3A"/>
      </patternFill>
    </fill>
    <fill>
      <patternFill patternType="solid">
        <fgColor rgb="FF7B3200"/>
        <bgColor rgb="FF7B3200"/>
      </patternFill>
    </fill>
    <fill>
      <patternFill patternType="solid">
        <fgColor rgb="FFFDF0E0"/>
        <bgColor rgb="FFFDF0E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1A3D6E"/>
        <bgColor rgb="FF1A3D6E"/>
      </patternFill>
    </fill>
    <fill>
      <patternFill patternType="solid">
        <fgColor rgb="FFFFFFFF"/>
        <bgColor rgb="FFFFFFFF"/>
      </patternFill>
    </fill>
    <fill>
      <patternFill patternType="solid">
        <fgColor rgb="FF0F7B6C"/>
        <bgColor rgb="FF0F7B6C"/>
      </patternFill>
    </fill>
    <fill>
      <patternFill patternType="solid">
        <fgColor rgb="FF1C4E80"/>
        <bgColor rgb="FF1C4E80"/>
      </patternFill>
    </fill>
    <fill>
      <patternFill patternType="solid">
        <fgColor rgb="FFFFF3CD"/>
        <bgColor rgb="FFFFF3CD"/>
      </patternFill>
    </fill>
    <fill>
      <patternFill patternType="solid">
        <fgColor rgb="FFF3E5FF"/>
        <bgColor rgb="FFF3E5FF"/>
      </patternFill>
    </fill>
    <fill>
      <patternFill patternType="solid">
        <fgColor rgb="FFFFE0E0"/>
        <bgColor rgb="FFFFE0E0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</border>
    <border>
      <top style="thin">
        <color rgb="FFBBBBBB"/>
      </top>
    </border>
    <border>
      <right/>
      <top style="thin">
        <color rgb="FFBBBBBB"/>
      </top>
    </border>
    <border>
      <bottom/>
    </border>
    <border>
      <left style="thin">
        <color rgb="FFBBBBBB"/>
      </left>
      <bottom/>
    </border>
    <border>
      <right/>
      <bottom/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4" fillId="6" fontId="6" numFmtId="164" xfId="0" applyAlignment="1" applyBorder="1" applyFill="1" applyFont="1" applyNumberFormat="1">
      <alignment horizontal="right" readingOrder="0" shrinkToFit="0" vertical="center" wrapText="0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9" xfId="0" applyAlignment="1" applyBorder="1" applyFill="1" applyFont="1" applyNumberFormat="1">
      <alignment horizontal="right" shrinkToFit="0" vertical="center" wrapText="0"/>
    </xf>
    <xf borderId="4" fillId="7" fontId="7" numFmtId="9" xfId="0" applyAlignment="1" applyBorder="1" applyFill="1" applyFont="1" applyNumberFormat="1">
      <alignment horizontal="right" readingOrder="0" shrinkToFit="0" vertical="center" wrapText="0"/>
    </xf>
    <xf borderId="4" fillId="6" fontId="6" numFmtId="9" xfId="0" applyAlignment="1" applyBorder="1" applyFill="1" applyFont="1" applyNumberFormat="1">
      <alignment horizontal="right" readingOrder="0" shrinkToFit="0" vertical="center" wrapText="0"/>
    </xf>
    <xf borderId="5" fillId="8" fontId="8" numFmtId="0" xfId="0" applyAlignment="1" applyBorder="1" applyFill="1" applyFont="1">
      <alignment horizontal="left" readingOrder="0" shrinkToFit="0" vertical="center" wrapText="1"/>
    </xf>
    <xf borderId="6" fillId="8" fontId="8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6" fontId="6" numFmtId="1" xfId="0" applyAlignment="1" applyBorder="1" applyFill="1" applyFont="1" applyNumberFormat="1">
      <alignment horizontal="right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2" fontId="9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ill="1" applyFont="1">
      <alignment horizontal="center" readingOrder="0" shrinkToFit="0" vertical="center" wrapText="1"/>
    </xf>
    <xf borderId="11" fillId="2" fontId="9" numFmtId="0" xfId="0" applyAlignment="1" applyBorder="1" applyFill="1" applyFont="1">
      <alignment horizontal="center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11" fillId="2" fontId="9" numFmtId="0" xfId="0" applyAlignment="1" applyBorder="1" applyFill="1" applyFont="1">
      <alignment horizontal="center" readingOrder="0" shrinkToFit="0" vertical="center" wrapText="1"/>
    </xf>
    <xf borderId="4" fillId="6" fontId="11" numFmtId="0" xfId="0" applyAlignment="1" applyBorder="1" applyFill="1" applyFont="1">
      <alignment horizontal="left" readingOrder="0" shrinkToFit="0" vertical="center" wrapText="1"/>
    </xf>
    <xf borderId="4" fillId="6" fontId="12" numFmtId="0" xfId="0" applyAlignment="1" applyBorder="1" applyFill="1" applyFont="1">
      <alignment horizontal="left" readingOrder="0" shrinkToFit="0" vertical="center" wrapText="1"/>
    </xf>
    <xf borderId="4" fillId="9" fontId="10" numFmtId="0" xfId="0" applyAlignment="1" applyBorder="1" applyFill="1" applyFont="1">
      <alignment horizontal="center" readingOrder="0" shrinkToFit="0" vertical="center" wrapText="1"/>
    </xf>
    <xf borderId="12" fillId="6" fontId="11" numFmtId="0" xfId="0" applyAlignment="1" applyBorder="1" applyFill="1" applyFont="1">
      <alignment horizontal="left" readingOrder="0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4" fillId="6" fontId="14" numFmtId="3" xfId="0" applyAlignment="1" applyBorder="1" applyFill="1" applyFont="1" applyNumberFormat="1">
      <alignment horizontal="center" readingOrder="0" shrinkToFit="0" vertical="center" wrapText="1"/>
    </xf>
    <xf borderId="4" fillId="6" fontId="14" numFmtId="165" xfId="0" applyAlignment="1" applyBorder="1" applyFill="1" applyFont="1" applyNumberFormat="1">
      <alignment horizontal="right" readingOrder="0" shrinkToFit="0" vertical="center" wrapText="0"/>
    </xf>
    <xf borderId="4" fillId="6" fontId="14" numFmtId="4" xfId="0" applyAlignment="1" applyBorder="1" applyFill="1" applyFont="1" applyNumberFormat="1">
      <alignment horizontal="center" readingOrder="0" shrinkToFit="0" vertical="center" wrapText="1"/>
    </xf>
    <xf borderId="4" fillId="9" fontId="12" numFmtId="166" xfId="0" applyAlignment="1" applyBorder="1" applyFill="1" applyFont="1" applyNumberFormat="1">
      <alignment horizontal="right" shrinkToFit="0" vertical="center" wrapText="0"/>
    </xf>
    <xf borderId="4" fillId="9" fontId="15" numFmtId="166" xfId="0" applyAlignment="1" applyBorder="1" applyFill="1" applyFont="1" applyNumberFormat="1">
      <alignment horizontal="right" shrinkToFit="0" vertical="center" wrapText="0"/>
    </xf>
    <xf borderId="4" fillId="9" fontId="11" numFmtId="166" xfId="0" applyAlignment="1" applyBorder="1" applyFill="1" applyFont="1" applyNumberFormat="1">
      <alignment horizontal="right" shrinkToFit="0" vertical="center" wrapText="0"/>
    </xf>
    <xf borderId="4" fillId="10" fontId="14" numFmtId="9" xfId="0" applyAlignment="1" applyBorder="1" applyFill="1" applyFont="1" applyNumberFormat="1">
      <alignment horizontal="center" readingOrder="0" shrinkToFit="0" vertical="center" wrapText="1"/>
    </xf>
    <xf borderId="4" fillId="11" fontId="16" numFmtId="166" xfId="0" applyAlignment="1" applyBorder="1" applyFill="1" applyFont="1" applyNumberFormat="1">
      <alignment horizontal="right" shrinkToFit="0" vertical="center" wrapText="0"/>
    </xf>
    <xf borderId="4" fillId="12" fontId="16" numFmtId="166" xfId="0" applyAlignment="1" applyBorder="1" applyFill="1" applyFont="1" applyNumberFormat="1">
      <alignment horizontal="right" shrinkToFit="0" vertical="center" wrapText="0"/>
    </xf>
    <xf borderId="4" fillId="9" fontId="13" numFmtId="166" xfId="0" applyAlignment="1" applyBorder="1" applyFill="1" applyFont="1" applyNumberFormat="1">
      <alignment horizontal="right" shrinkToFit="0" vertical="center" wrapText="0"/>
    </xf>
    <xf borderId="12" fillId="2" fontId="17" numFmtId="0" xfId="0" applyAlignment="1" applyBorder="1" applyFill="1" applyFont="1">
      <alignment horizontal="center" shrinkToFit="0" vertical="center" wrapText="1"/>
    </xf>
    <xf borderId="14" fillId="2" fontId="17" numFmtId="0" xfId="0" applyAlignment="1" applyBorder="1" applyFill="1" applyFont="1">
      <alignment horizontal="center" readingOrder="0" shrinkToFit="0" vertical="center" wrapText="1"/>
    </xf>
    <xf borderId="14" fillId="2" fontId="17" numFmtId="0" xfId="0" applyAlignment="1" applyBorder="1" applyFill="1" applyFont="1">
      <alignment horizontal="center" shrinkToFit="0" vertical="center" wrapText="1"/>
    </xf>
    <xf borderId="15" fillId="2" fontId="17" numFmtId="0" xfId="0" applyAlignment="1" applyBorder="1" applyFill="1" applyFont="1">
      <alignment horizontal="center" shrinkToFit="0" vertical="center" wrapText="1"/>
    </xf>
    <xf borderId="13" fillId="2" fontId="17" numFmtId="165" xfId="0" applyAlignment="1" applyBorder="1" applyFill="1" applyFont="1" applyNumberFormat="1">
      <alignment horizontal="right" shrinkToFit="0" vertical="center" wrapText="0"/>
    </xf>
    <xf borderId="4" fillId="2" fontId="17" numFmtId="166" xfId="0" applyAlignment="1" applyBorder="1" applyFill="1" applyFont="1" applyNumberFormat="1">
      <alignment horizontal="right" shrinkToFit="0" vertical="center" wrapText="0"/>
    </xf>
    <xf borderId="4" fillId="2" fontId="18" numFmtId="167" xfId="0" applyAlignment="1" applyBorder="1" applyFill="1" applyFont="1" applyNumberFormat="1">
      <alignment horizontal="right" shrinkToFit="0" vertical="center" wrapText="0"/>
    </xf>
    <xf borderId="16" fillId="2" fontId="19" numFmtId="0" xfId="0" applyAlignment="1" applyBorder="1" applyFill="1" applyFont="1">
      <alignment horizontal="center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0" fontId="20" numFmtId="0" xfId="0" applyAlignment="1" applyFont="1">
      <alignment shrinkToFit="0" vertical="center" wrapText="1"/>
    </xf>
    <xf borderId="16" fillId="13" fontId="4" numFmtId="0" xfId="0" applyAlignment="1" applyBorder="1" applyFill="1" applyFont="1">
      <alignment horizontal="center" readingOrder="0" shrinkToFit="0" vertical="center" wrapText="1"/>
    </xf>
    <xf borderId="19" fillId="13" fontId="9" numFmtId="0" xfId="0" applyAlignment="1" applyBorder="1" applyFill="1" applyFont="1">
      <alignment horizontal="center" shrinkToFit="0" vertical="center" wrapText="1"/>
    </xf>
    <xf borderId="19" fillId="13" fontId="9" numFmtId="0" xfId="0" applyAlignment="1" applyBorder="1" applyFill="1" applyFont="1">
      <alignment horizontal="center" readingOrder="0" shrinkToFit="0" vertical="center" wrapText="1"/>
    </xf>
    <xf borderId="4" fillId="6" fontId="14" numFmtId="165" xfId="0" applyAlignment="1" applyBorder="1" applyFill="1" applyFont="1" applyNumberFormat="1">
      <alignment horizontal="right" shrinkToFit="0" vertical="center" wrapText="0"/>
    </xf>
    <xf borderId="19" fillId="6" fontId="21" numFmtId="3" xfId="0" applyAlignment="1" applyBorder="1" applyFill="1" applyFont="1" applyNumberFormat="1">
      <alignment horizontal="center" readingOrder="0" shrinkToFit="0" vertical="center" wrapText="1"/>
    </xf>
    <xf borderId="19" fillId="11" fontId="22" numFmtId="4" xfId="0" applyAlignment="1" applyBorder="1" applyFill="1" applyFont="1" applyNumberFormat="1">
      <alignment horizontal="center" shrinkToFit="0" vertical="center" wrapText="1"/>
    </xf>
    <xf borderId="19" fillId="6" fontId="21" numFmtId="165" xfId="0" applyAlignment="1" applyBorder="1" applyFill="1" applyFont="1" applyNumberFormat="1">
      <alignment horizontal="right" readingOrder="0" shrinkToFit="0" vertical="center" wrapText="1"/>
    </xf>
    <xf borderId="19" fillId="11" fontId="22" numFmtId="165" xfId="0" applyAlignment="1" applyBorder="1" applyFill="1" applyFont="1" applyNumberFormat="1">
      <alignment horizontal="right" shrinkToFit="0" vertical="center" wrapText="1"/>
    </xf>
    <xf borderId="19" fillId="11" fontId="22" numFmtId="166" xfId="0" applyAlignment="1" applyBorder="1" applyFill="1" applyFont="1" applyNumberFormat="1">
      <alignment horizontal="right" shrinkToFit="0" vertical="center" wrapText="1"/>
    </xf>
    <xf borderId="19" fillId="11" fontId="23" numFmtId="166" xfId="0" applyAlignment="1" applyBorder="1" applyFill="1" applyFont="1" applyNumberFormat="1">
      <alignment horizontal="right" shrinkToFit="0" vertical="center" wrapText="1"/>
    </xf>
    <xf borderId="19" fillId="6" fontId="21" numFmtId="3" xfId="0" applyAlignment="1" applyBorder="1" applyFill="1" applyFont="1" applyNumberFormat="1">
      <alignment horizontal="center" shrinkToFit="0" vertical="center" wrapText="1"/>
    </xf>
    <xf borderId="16" fillId="13" fontId="24" numFmtId="0" xfId="0" applyAlignment="1" applyBorder="1" applyFill="1" applyFont="1">
      <alignment horizontal="center" shrinkToFit="0" vertical="center" wrapText="1"/>
    </xf>
    <xf borderId="19" fillId="13" fontId="24" numFmtId="165" xfId="0" applyAlignment="1" applyBorder="1" applyFill="1" applyFont="1" applyNumberFormat="1">
      <alignment horizontal="right" shrinkToFit="0" vertical="center" wrapText="1"/>
    </xf>
    <xf borderId="19" fillId="13" fontId="24" numFmtId="166" xfId="0" applyAlignment="1" applyBorder="1" applyFill="1" applyFont="1" applyNumberFormat="1">
      <alignment horizontal="right" shrinkToFit="0" vertical="center" wrapText="1"/>
    </xf>
    <xf borderId="16" fillId="14" fontId="4" numFmtId="0" xfId="0" applyAlignment="1" applyBorder="1" applyFill="1" applyFont="1">
      <alignment horizontal="center" readingOrder="0" shrinkToFit="0" vertical="center" wrapText="1"/>
    </xf>
    <xf borderId="19" fillId="14" fontId="9" numFmtId="0" xfId="0" applyAlignment="1" applyBorder="1" applyFill="1" applyFont="1">
      <alignment horizontal="center" shrinkToFit="0" vertical="center" wrapText="1"/>
    </xf>
    <xf borderId="19" fillId="14" fontId="9" numFmtId="0" xfId="0" applyAlignment="1" applyBorder="1" applyFill="1" applyFont="1">
      <alignment horizontal="center" readingOrder="0" shrinkToFit="0" vertical="center" wrapText="1"/>
    </xf>
    <xf borderId="19" fillId="15" fontId="22" numFmtId="4" xfId="0" applyAlignment="1" applyBorder="1" applyFill="1" applyFont="1" applyNumberFormat="1">
      <alignment horizontal="center" shrinkToFit="0" vertical="center" wrapText="1"/>
    </xf>
    <xf borderId="19" fillId="15" fontId="22" numFmtId="165" xfId="0" applyAlignment="1" applyBorder="1" applyFill="1" applyFont="1" applyNumberFormat="1">
      <alignment horizontal="right" shrinkToFit="0" vertical="center" wrapText="1"/>
    </xf>
    <xf borderId="19" fillId="15" fontId="25" numFmtId="166" xfId="0" applyAlignment="1" applyBorder="1" applyFill="1" applyFont="1" applyNumberFormat="1">
      <alignment horizontal="right" shrinkToFit="0" vertical="center" wrapText="1"/>
    </xf>
    <xf borderId="19" fillId="15" fontId="22" numFmtId="166" xfId="0" applyAlignment="1" applyBorder="1" applyFill="1" applyFont="1" applyNumberFormat="1">
      <alignment horizontal="right" shrinkToFit="0" vertical="center" wrapText="1"/>
    </xf>
    <xf borderId="19" fillId="15" fontId="26" numFmtId="166" xfId="0" applyAlignment="1" applyBorder="1" applyFill="1" applyFont="1" applyNumberFormat="1">
      <alignment horizontal="right" shrinkToFit="0" vertical="center" wrapText="1"/>
    </xf>
    <xf borderId="16" fillId="14" fontId="24" numFmtId="0" xfId="0" applyAlignment="1" applyBorder="1" applyFill="1" applyFont="1">
      <alignment horizontal="center" shrinkToFit="0" vertical="center" wrapText="1"/>
    </xf>
    <xf borderId="4" fillId="16" fontId="10" numFmtId="0" xfId="0" applyAlignment="1" applyBorder="1" applyFill="1" applyFont="1">
      <alignment horizontal="center" shrinkToFit="0" vertical="center" wrapText="1"/>
    </xf>
    <xf borderId="19" fillId="14" fontId="24" numFmtId="165" xfId="0" applyAlignment="1" applyBorder="1" applyFill="1" applyFont="1" applyNumberFormat="1">
      <alignment horizontal="right" shrinkToFit="0" vertical="center" wrapText="1"/>
    </xf>
    <xf borderId="4" fillId="16" fontId="12" numFmtId="0" xfId="0" applyAlignment="1" applyBorder="1" applyFill="1" applyFont="1">
      <alignment horizontal="left" readingOrder="0" shrinkToFit="0" vertical="center" wrapText="1"/>
    </xf>
    <xf borderId="19" fillId="14" fontId="24" numFmtId="166" xfId="0" applyAlignment="1" applyBorder="1" applyFill="1" applyFont="1" applyNumberFormat="1">
      <alignment horizontal="right" shrinkToFit="0" vertical="center" wrapText="1"/>
    </xf>
    <xf borderId="4" fillId="16" fontId="11" numFmtId="0" xfId="0" applyAlignment="1" applyBorder="1" applyFill="1" applyFont="1">
      <alignment horizontal="center" readingOrder="0" shrinkToFit="0" vertical="center" wrapText="1"/>
    </xf>
    <xf borderId="4" fillId="16" fontId="14" numFmtId="3" xfId="0" applyAlignment="1" applyBorder="1" applyFill="1" applyFont="1" applyNumberFormat="1">
      <alignment horizontal="center" readingOrder="0" shrinkToFit="0" vertical="center" wrapText="1"/>
    </xf>
    <xf borderId="4" fillId="16" fontId="14" numFmtId="165" xfId="0" applyAlignment="1" applyBorder="1" applyFill="1" applyFont="1" applyNumberFormat="1">
      <alignment horizontal="right" shrinkToFit="0" vertical="center" wrapText="0"/>
    </xf>
    <xf borderId="4" fillId="16" fontId="12" numFmtId="166" xfId="0" applyAlignment="1" applyBorder="1" applyFill="1" applyFont="1" applyNumberFormat="1">
      <alignment horizontal="right" shrinkToFit="0" vertical="center" wrapText="0"/>
    </xf>
    <xf borderId="4" fillId="16" fontId="15" numFmtId="166" xfId="0" applyAlignment="1" applyBorder="1" applyFill="1" applyFont="1" applyNumberFormat="1">
      <alignment horizontal="right" shrinkToFit="0" vertical="center" wrapText="0"/>
    </xf>
    <xf borderId="0" fillId="0" fontId="27" numFmtId="0" xfId="0" applyAlignment="1" applyFont="1">
      <alignment vertical="center"/>
    </xf>
    <xf borderId="4" fillId="16" fontId="11" numFmtId="166" xfId="0" applyAlignment="1" applyBorder="1" applyFill="1" applyFont="1" applyNumberFormat="1">
      <alignment horizontal="right" shrinkToFit="0" vertical="center" wrapText="0"/>
    </xf>
    <xf borderId="4" fillId="16" fontId="14" numFmtId="9" xfId="0" applyAlignment="1" applyBorder="1" applyFill="1" applyFont="1" applyNumberFormat="1">
      <alignment horizontal="center" readingOrder="0" shrinkToFit="0" vertical="center" wrapText="1"/>
    </xf>
    <xf borderId="4" fillId="16" fontId="16" numFmtId="166" xfId="0" applyAlignment="1" applyBorder="1" applyFill="1" applyFont="1" applyNumberFormat="1">
      <alignment horizontal="right" shrinkToFit="0" vertical="center" wrapText="0"/>
    </xf>
    <xf borderId="4" fillId="16" fontId="13" numFmtId="166" xfId="0" applyAlignment="1" applyBorder="1" applyFill="1" applyFont="1" applyNumberFormat="1">
      <alignment horizontal="right" shrinkToFit="0" vertical="center" wrapText="0"/>
    </xf>
    <xf borderId="0" fillId="0" fontId="27" numFmtId="0" xfId="0" applyAlignment="1" applyFont="1">
      <alignment horizontal="center" vertical="center"/>
    </xf>
    <xf borderId="19" fillId="6" fontId="28" numFmtId="3" xfId="0" applyAlignment="1" applyBorder="1" applyFill="1" applyFont="1" applyNumberFormat="1">
      <alignment horizontal="center" readingOrder="0" shrinkToFit="0" vertical="center" wrapText="1"/>
    </xf>
    <xf borderId="19" fillId="11" fontId="16" numFmtId="166" xfId="0" applyAlignment="1" applyBorder="1" applyFill="1" applyFont="1" applyNumberFormat="1">
      <alignment horizontal="right" shrinkToFit="0" vertical="center" wrapText="0"/>
    </xf>
    <xf borderId="4" fillId="16" fontId="14" numFmtId="165" xfId="0" applyAlignment="1" applyBorder="1" applyFill="1" applyFont="1" applyNumberFormat="1">
      <alignment horizontal="right" readingOrder="0" shrinkToFit="0" vertical="center" wrapText="0"/>
    </xf>
    <xf borderId="4" fillId="16" fontId="15" numFmtId="166" xfId="0" applyAlignment="1" applyBorder="1" applyFill="1" applyFont="1" applyNumberFormat="1">
      <alignment horizontal="right" readingOrder="0" shrinkToFit="0" vertical="center" wrapText="0"/>
    </xf>
    <xf borderId="16" fillId="13" fontId="24" numFmtId="0" xfId="0" applyAlignment="1" applyBorder="1" applyFill="1" applyFont="1">
      <alignment horizontal="center" readingOrder="0" shrinkToFit="0" vertical="center" wrapText="1"/>
    </xf>
    <xf borderId="19" fillId="11" fontId="22" numFmtId="3" xfId="0" applyAlignment="1" applyBorder="1" applyFill="1" applyFont="1" applyNumberFormat="1">
      <alignment horizontal="center" shrinkToFit="0" vertical="center" wrapText="1"/>
    </xf>
    <xf borderId="19" fillId="15" fontId="22" numFmtId="3" xfId="0" applyAlignment="1" applyBorder="1" applyFill="1" applyFont="1" applyNumberFormat="1">
      <alignment horizontal="center" shrinkToFit="0" vertical="center" wrapText="1"/>
    </xf>
    <xf borderId="19" fillId="9" fontId="25" numFmtId="166" xfId="0" applyAlignment="1" applyBorder="1" applyFill="1" applyFont="1" applyNumberFormat="1">
      <alignment horizontal="right" vertical="center"/>
    </xf>
    <xf borderId="19" fillId="9" fontId="25" numFmtId="165" xfId="0" applyAlignment="1" applyBorder="1" applyFill="1" applyFont="1" applyNumberFormat="1">
      <alignment horizontal="right" shrinkToFit="0" vertical="center" wrapText="1"/>
    </xf>
    <xf borderId="13" fillId="17" fontId="11" numFmtId="0" xfId="0" applyAlignment="1" applyBorder="1" applyFill="1" applyFont="1">
      <alignment horizontal="center" readingOrder="0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1" fillId="18" fontId="17" numFmtId="0" xfId="0" applyAlignment="1" applyBorder="1" applyFill="1" applyFont="1">
      <alignment horizontal="center" shrinkToFit="0" vertical="center" wrapText="1"/>
    </xf>
    <xf borderId="20" fillId="9" fontId="10" numFmtId="0" xfId="0" applyAlignment="1" applyBorder="1" applyFill="1" applyFont="1">
      <alignment horizontal="center" readingOrder="0" shrinkToFit="0" vertical="center" wrapText="1"/>
    </xf>
    <xf borderId="4" fillId="19" fontId="29" numFmtId="164" xfId="0" applyAlignment="1" applyBorder="1" applyFill="1" applyFont="1" applyNumberFormat="1">
      <alignment horizontal="right" shrinkToFit="0" vertical="center" wrapText="0"/>
    </xf>
    <xf borderId="4" fillId="19" fontId="3" numFmtId="0" xfId="0" applyAlignment="1" applyBorder="1" applyFill="1" applyFont="1">
      <alignment horizontal="left" shrinkToFit="0" vertical="center" wrapText="1"/>
    </xf>
    <xf borderId="21" fillId="0" fontId="2" numFmtId="0" xfId="0" applyBorder="1" applyFont="1"/>
    <xf borderId="4" fillId="3" fontId="29" numFmtId="9" xfId="0" applyAlignment="1" applyBorder="1" applyFill="1" applyFont="1" applyNumberFormat="1">
      <alignment horizontal="right" shrinkToFit="0" vertical="center" wrapText="0"/>
    </xf>
    <xf borderId="4" fillId="3" fontId="3" numFmtId="0" xfId="0" applyAlignment="1" applyBorder="1" applyFill="1" applyFont="1">
      <alignment horizontal="left" shrinkToFit="0" vertical="center" wrapText="1"/>
    </xf>
    <xf borderId="4" fillId="19" fontId="29" numFmtId="9" xfId="0" applyAlignment="1" applyBorder="1" applyFill="1" applyFont="1" applyNumberFormat="1">
      <alignment horizontal="right" shrinkToFit="0" vertical="center" wrapText="0"/>
    </xf>
    <xf borderId="4" fillId="19" fontId="29" numFmtId="1" xfId="0" applyAlignment="1" applyBorder="1" applyFill="1" applyFont="1" applyNumberFormat="1">
      <alignment horizontal="right" shrinkToFit="0" vertical="center" wrapText="0"/>
    </xf>
    <xf borderId="4" fillId="3" fontId="29" numFmtId="1" xfId="0" applyAlignment="1" applyBorder="1" applyFill="1" applyFont="1" applyNumberFormat="1">
      <alignment horizontal="right" shrinkToFit="0" vertical="center" wrapText="0"/>
    </xf>
    <xf borderId="1" fillId="20" fontId="4" numFmtId="0" xfId="0" applyAlignment="1" applyBorder="1" applyFill="1" applyFont="1">
      <alignment horizontal="center" shrinkToFit="0" vertical="center" wrapText="1"/>
    </xf>
    <xf borderId="4" fillId="21" fontId="9" numFmtId="0" xfId="0" applyAlignment="1" applyBorder="1" applyFill="1" applyFont="1">
      <alignment horizontal="center" shrinkToFit="0" vertical="center" wrapText="1"/>
    </xf>
    <xf borderId="4" fillId="6" fontId="30" numFmtId="165" xfId="0" applyAlignment="1" applyBorder="1" applyFill="1" applyFont="1" applyNumberFormat="1">
      <alignment horizontal="right" shrinkToFit="0" vertical="center" wrapText="0"/>
    </xf>
    <xf borderId="4" fillId="6" fontId="30" numFmtId="166" xfId="0" applyAlignment="1" applyBorder="1" applyFill="1" applyFont="1" applyNumberFormat="1">
      <alignment horizontal="right" shrinkToFit="0" vertical="center" wrapText="0"/>
    </xf>
    <xf borderId="4" fillId="12" fontId="31" numFmtId="166" xfId="0" applyAlignment="1" applyBorder="1" applyFill="1" applyFont="1" applyNumberFormat="1">
      <alignment horizontal="right" shrinkToFit="0" vertical="center" wrapText="0"/>
    </xf>
    <xf borderId="4" fillId="12" fontId="31" numFmtId="167" xfId="0" applyAlignment="1" applyBorder="1" applyFill="1" applyFont="1" applyNumberFormat="1">
      <alignment horizontal="right" shrinkToFit="0" vertical="center" wrapText="0"/>
    </xf>
    <xf borderId="16" fillId="18" fontId="4" numFmtId="0" xfId="0" applyAlignment="1" applyBorder="1" applyFill="1" applyFont="1">
      <alignment horizontal="center" shrinkToFit="0" vertical="center" wrapText="1"/>
    </xf>
    <xf borderId="19" fillId="2" fontId="9" numFmtId="0" xfId="0" applyAlignment="1" applyBorder="1" applyFill="1" applyFont="1">
      <alignment horizontal="center" shrinkToFit="0" vertical="center" wrapText="1"/>
    </xf>
    <xf borderId="19" fillId="2" fontId="9" numFmtId="0" xfId="0" applyAlignment="1" applyBorder="1" applyFill="1" applyFont="1">
      <alignment horizontal="center" readingOrder="0" shrinkToFit="0" vertical="center" wrapText="1"/>
    </xf>
    <xf borderId="19" fillId="5" fontId="32" numFmtId="0" xfId="0" applyAlignment="1" applyBorder="1" applyFill="1" applyFont="1">
      <alignment horizontal="center" readingOrder="0" shrinkToFit="0" vertical="center" wrapText="1"/>
    </xf>
    <xf borderId="19" fillId="9" fontId="12" numFmtId="166" xfId="0" applyAlignment="1" applyBorder="1" applyFill="1" applyFont="1" applyNumberFormat="1">
      <alignment horizontal="right" shrinkToFit="0" vertical="center" wrapText="0"/>
    </xf>
    <xf borderId="19" fillId="9" fontId="33" numFmtId="168" xfId="0" applyAlignment="1" applyBorder="1" applyFill="1" applyFont="1" applyNumberFormat="1">
      <alignment horizontal="right" shrinkToFit="0" vertical="center" wrapText="0"/>
    </xf>
    <xf borderId="1" fillId="2" fontId="34" numFmtId="0" xfId="0" applyAlignment="1" applyBorder="1" applyFill="1" applyFont="1">
      <alignment horizontal="center" shrinkToFit="0" vertical="center" wrapText="1"/>
    </xf>
    <xf borderId="19" fillId="22" fontId="35" numFmtId="166" xfId="0" applyAlignment="1" applyBorder="1" applyFill="1" applyFont="1" applyNumberFormat="1">
      <alignment horizontal="right" shrinkToFit="0" vertical="center" wrapText="0"/>
    </xf>
    <xf borderId="4" fillId="5" fontId="32" numFmtId="0" xfId="0" applyAlignment="1" applyBorder="1" applyFill="1" applyFont="1">
      <alignment horizontal="left" shrinkToFit="0" vertical="center" wrapText="1"/>
    </xf>
    <xf borderId="19" fillId="9" fontId="11" numFmtId="166" xfId="0" applyAlignment="1" applyBorder="1" applyFill="1" applyFont="1" applyNumberFormat="1">
      <alignment horizontal="right" shrinkToFit="0" vertical="center" wrapText="0"/>
    </xf>
    <xf borderId="4" fillId="6" fontId="36" numFmtId="166" xfId="0" applyAlignment="1" applyBorder="1" applyFill="1" applyFont="1" applyNumberFormat="1">
      <alignment horizontal="right" shrinkToFit="0" vertical="center" wrapText="0"/>
    </xf>
    <xf borderId="19" fillId="9" fontId="12" numFmtId="165" xfId="0" applyAlignment="1" applyBorder="1" applyFill="1" applyFont="1" applyNumberFormat="1">
      <alignment horizontal="right" shrinkToFit="0" vertical="center" wrapText="0"/>
    </xf>
    <xf borderId="4" fillId="6" fontId="29" numFmtId="9" xfId="0" applyAlignment="1" applyBorder="1" applyFill="1" applyFont="1" applyNumberFormat="1">
      <alignment horizontal="right" shrinkToFit="0" vertical="center" wrapText="0"/>
    </xf>
    <xf borderId="19" fillId="23" fontId="37" numFmtId="167" xfId="0" applyAlignment="1" applyBorder="1" applyFill="1" applyFont="1" applyNumberFormat="1">
      <alignment horizontal="right" shrinkToFit="0" vertical="center" wrapText="0"/>
    </xf>
    <xf borderId="19" fillId="5" fontId="32" numFmtId="0" xfId="0" applyAlignment="1" applyBorder="1" applyFill="1" applyFont="1">
      <alignment horizontal="center" shrinkToFit="0" vertical="center" wrapText="1"/>
    </xf>
    <xf borderId="4" fillId="24" fontId="38" numFmtId="0" xfId="0" applyAlignment="1" applyBorder="1" applyFill="1" applyFont="1">
      <alignment horizontal="left" shrinkToFit="0" vertical="center" wrapText="1"/>
    </xf>
    <xf borderId="4" fillId="6" fontId="14" numFmtId="9" xfId="0" applyAlignment="1" applyBorder="1" applyFill="1" applyFont="1" applyNumberFormat="1">
      <alignment horizontal="right" shrinkToFit="0" vertical="center" wrapText="0"/>
    </xf>
    <xf borderId="4" fillId="24" fontId="12" numFmtId="166" xfId="0" applyAlignment="1" applyBorder="1" applyFill="1" applyFont="1" applyNumberFormat="1">
      <alignment horizontal="right" shrinkToFit="0" vertical="center" wrapText="0"/>
    </xf>
    <xf borderId="4" fillId="24" fontId="16" numFmtId="166" xfId="0" applyAlignment="1" applyBorder="1" applyFill="1" applyFont="1" applyNumberFormat="1">
      <alignment horizontal="right" shrinkToFit="0" vertical="center" wrapText="0"/>
    </xf>
    <xf borderId="4" fillId="24" fontId="12" numFmtId="167" xfId="0" applyAlignment="1" applyBorder="1" applyFill="1" applyFont="1" applyNumberFormat="1">
      <alignment horizontal="right" shrinkToFit="0" vertical="center" wrapText="0"/>
    </xf>
    <xf borderId="4" fillId="24" fontId="39" numFmtId="0" xfId="0" applyAlignment="1" applyBorder="1" applyFill="1" applyFont="1">
      <alignment horizontal="left" shrinkToFit="0" vertical="center" wrapText="1"/>
    </xf>
    <xf borderId="4" fillId="7" fontId="38" numFmtId="0" xfId="0" applyAlignment="1" applyBorder="1" applyFill="1" applyFont="1">
      <alignment horizontal="left" shrinkToFit="0" vertical="center" wrapText="1"/>
    </xf>
    <xf borderId="4" fillId="7" fontId="12" numFmtId="166" xfId="0" applyAlignment="1" applyBorder="1" applyFill="1" applyFont="1" applyNumberFormat="1">
      <alignment horizontal="right" shrinkToFit="0" vertical="center" wrapText="0"/>
    </xf>
    <xf borderId="4" fillId="7" fontId="16" numFmtId="166" xfId="0" applyAlignment="1" applyBorder="1" applyFill="1" applyFont="1" applyNumberFormat="1">
      <alignment horizontal="right" shrinkToFit="0" vertical="center" wrapText="0"/>
    </xf>
    <xf borderId="4" fillId="7" fontId="12" numFmtId="167" xfId="0" applyAlignment="1" applyBorder="1" applyFill="1" applyFont="1" applyNumberFormat="1">
      <alignment horizontal="right" shrinkToFit="0" vertical="center" wrapText="0"/>
    </xf>
    <xf borderId="4" fillId="7" fontId="40" numFmtId="0" xfId="0" applyAlignment="1" applyBorder="1" applyFill="1" applyFont="1">
      <alignment horizontal="left" shrinkToFit="0" vertical="center" wrapText="1"/>
    </xf>
    <xf borderId="4" fillId="19" fontId="38" numFmtId="0" xfId="0" applyAlignment="1" applyBorder="1" applyFill="1" applyFont="1">
      <alignment horizontal="left" shrinkToFit="0" vertical="center" wrapText="1"/>
    </xf>
    <xf borderId="4" fillId="19" fontId="12" numFmtId="166" xfId="0" applyAlignment="1" applyBorder="1" applyFill="1" applyFont="1" applyNumberFormat="1">
      <alignment horizontal="right" shrinkToFit="0" vertical="center" wrapText="0"/>
    </xf>
    <xf borderId="4" fillId="19" fontId="16" numFmtId="166" xfId="0" applyAlignment="1" applyBorder="1" applyFill="1" applyFont="1" applyNumberFormat="1">
      <alignment horizontal="right" shrinkToFit="0" vertical="center" wrapText="0"/>
    </xf>
    <xf borderId="4" fillId="19" fontId="12" numFmtId="167" xfId="0" applyAlignment="1" applyBorder="1" applyFill="1" applyFont="1" applyNumberFormat="1">
      <alignment horizontal="right" shrinkToFit="0" vertical="center" wrapText="0"/>
    </xf>
    <xf borderId="4" fillId="19" fontId="40" numFmtId="0" xfId="0" applyAlignment="1" applyBorder="1" applyFill="1" applyFont="1">
      <alignment horizontal="left" shrinkToFit="0" vertical="center" wrapText="1"/>
    </xf>
    <xf borderId="4" fillId="9" fontId="38" numFmtId="0" xfId="0" applyAlignment="1" applyBorder="1" applyFill="1" applyFont="1">
      <alignment horizontal="left" shrinkToFit="0" vertical="center" wrapText="1"/>
    </xf>
    <xf borderId="4" fillId="9" fontId="16" numFmtId="166" xfId="0" applyAlignment="1" applyBorder="1" applyFill="1" applyFont="1" applyNumberFormat="1">
      <alignment horizontal="right" shrinkToFit="0" vertical="center" wrapText="0"/>
    </xf>
    <xf borderId="22" fillId="3" fontId="41" numFmtId="0" xfId="0" applyAlignment="1" applyBorder="1" applyFill="1" applyFont="1">
      <alignment horizontal="left" shrinkToFit="0" vertical="top" wrapText="1"/>
    </xf>
    <xf borderId="4" fillId="9" fontId="12" numFmtId="167" xfId="0" applyAlignment="1" applyBorder="1" applyFill="1" applyFont="1" applyNumberFormat="1">
      <alignment horizontal="right" shrinkToFit="0" vertical="center" wrapText="0"/>
    </xf>
    <xf borderId="23" fillId="0" fontId="2" numFmtId="0" xfId="0" applyBorder="1" applyFont="1"/>
    <xf borderId="4" fillId="9" fontId="40" numFmtId="0" xfId="0" applyAlignment="1" applyBorder="1" applyFill="1" applyFont="1">
      <alignment horizontal="left" shrinkToFit="0" vertical="center" wrapText="1"/>
    </xf>
    <xf borderId="24" fillId="0" fontId="2" numFmtId="0" xfId="0" applyBorder="1" applyFont="1"/>
    <xf borderId="4" fillId="12" fontId="42" numFmtId="0" xfId="0" applyAlignment="1" applyBorder="1" applyFill="1" applyFont="1">
      <alignment horizontal="left" shrinkToFit="0" vertical="center" wrapText="1"/>
    </xf>
    <xf borderId="25" fillId="0" fontId="2" numFmtId="0" xfId="0" applyBorder="1" applyFont="1"/>
    <xf borderId="26" fillId="0" fontId="2" numFmtId="0" xfId="0" applyBorder="1" applyFont="1"/>
    <xf borderId="4" fillId="12" fontId="11" numFmtId="166" xfId="0" applyAlignment="1" applyBorder="1" applyFill="1" applyFont="1" applyNumberFormat="1">
      <alignment horizontal="right" shrinkToFit="0" vertical="center" wrapText="0"/>
    </xf>
    <xf borderId="27" fillId="0" fontId="2" numFmtId="0" xfId="0" applyBorder="1" applyFont="1"/>
    <xf borderId="4" fillId="12" fontId="11" numFmtId="167" xfId="0" applyAlignment="1" applyBorder="1" applyFill="1" applyFont="1" applyNumberFormat="1">
      <alignment horizontal="right" shrinkToFit="0" vertical="center" wrapText="0"/>
    </xf>
    <xf borderId="4" fillId="12" fontId="4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3">
    <dxf>
      <font>
        <b/>
        <color rgb="FFC0392B"/>
        <name val="Arial"/>
      </font>
      <fill>
        <patternFill patternType="solid">
          <fgColor rgb="FFFFE0E0"/>
          <bgColor rgb="FFFFE0E0"/>
        </patternFill>
      </fill>
      <border/>
    </dxf>
    <dxf>
      <font>
        <b/>
        <color rgb="FF1A6B3A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color rgb="FF7D6608"/>
        <name val="Arial"/>
      </font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69.29"/>
    <col customWidth="1" min="3" max="3" width="22.43"/>
    <col customWidth="1" min="4" max="4" width="20.43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9.43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</v>
      </c>
      <c r="G4" s="8" t="s">
        <v>6</v>
      </c>
      <c r="H4" s="9">
        <v>0.3</v>
      </c>
      <c r="I4" s="6" t="s">
        <v>8</v>
      </c>
      <c r="J4" s="11">
        <v>0.05</v>
      </c>
      <c r="K4" s="13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0.1</v>
      </c>
      <c r="E5" s="8" t="s">
        <v>13</v>
      </c>
      <c r="F5" s="16">
        <v>12.0</v>
      </c>
      <c r="G5" s="8" t="s">
        <v>14</v>
      </c>
      <c r="H5" s="16">
        <v>0.0</v>
      </c>
      <c r="I5" s="6" t="s">
        <v>15</v>
      </c>
      <c r="J5" s="16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2" t="s">
        <v>24</v>
      </c>
      <c r="J6" s="22" t="s">
        <v>26</v>
      </c>
      <c r="K6" s="24" t="s">
        <v>31</v>
      </c>
      <c r="L6" s="22" t="s">
        <v>27</v>
      </c>
      <c r="M6" s="22" t="s">
        <v>28</v>
      </c>
      <c r="N6" s="22" t="s">
        <v>29</v>
      </c>
    </row>
    <row r="7" ht="18.75" customHeight="1">
      <c r="A7" s="23">
        <v>1.0</v>
      </c>
      <c r="B7" s="25" t="s">
        <v>32</v>
      </c>
      <c r="C7" s="26"/>
      <c r="D7" s="29"/>
      <c r="E7" s="31">
        <v>1.0</v>
      </c>
      <c r="F7" s="32">
        <v>10000.0</v>
      </c>
      <c r="G7" s="34">
        <f t="shared" ref="G7:G36" si="1">IF(F7=0,0,F7*$B$4*E7)</f>
        <v>15500000</v>
      </c>
      <c r="H7" s="35">
        <f t="shared" ref="H7:H35" si="2">IF(F7=0,0,G7*$D$5)</f>
        <v>1550000</v>
      </c>
      <c r="I7" s="36">
        <f t="shared" ref="I7:I36" si="3">IF(F7=0,0,G7+H7)</f>
        <v>17050000</v>
      </c>
      <c r="J7" s="37">
        <f t="shared" ref="J7:J36" si="4">$F$4</f>
        <v>0.4</v>
      </c>
      <c r="K7" s="35">
        <f t="shared" ref="K7:K35" si="5">IF(F7=0,0,I7*$J$4)</f>
        <v>852500</v>
      </c>
      <c r="L7" s="38">
        <f t="shared" ref="L7:L36" si="6">IF(F7=0,0,I7*(1+$J$7)+K7)</f>
        <v>24722500</v>
      </c>
      <c r="M7" s="39">
        <f t="shared" ref="M7:M36" si="7">IF(F7=0,0,L7*(1+$D$4))</f>
        <v>29914225</v>
      </c>
      <c r="N7" s="40">
        <f t="shared" ref="N7:N36" si="8">IF(F7=0,0,L7-I7)</f>
        <v>7672500</v>
      </c>
    </row>
    <row r="8" ht="18.75" customHeight="1">
      <c r="A8" s="23">
        <v>2.0</v>
      </c>
      <c r="B8" s="25" t="s">
        <v>35</v>
      </c>
      <c r="C8" s="26"/>
      <c r="D8" s="29"/>
      <c r="E8" s="31">
        <v>100.0</v>
      </c>
      <c r="F8" s="32">
        <v>2.0</v>
      </c>
      <c r="G8" s="34">
        <f t="shared" si="1"/>
        <v>310000</v>
      </c>
      <c r="H8" s="35">
        <f t="shared" si="2"/>
        <v>31000</v>
      </c>
      <c r="I8" s="36">
        <f t="shared" si="3"/>
        <v>341000</v>
      </c>
      <c r="J8" s="37">
        <f t="shared" si="4"/>
        <v>0.4</v>
      </c>
      <c r="K8" s="35">
        <f t="shared" si="5"/>
        <v>17050</v>
      </c>
      <c r="L8" s="38">
        <f t="shared" si="6"/>
        <v>494450</v>
      </c>
      <c r="M8" s="39">
        <f t="shared" si="7"/>
        <v>598284.5</v>
      </c>
      <c r="N8" s="40">
        <f t="shared" si="8"/>
        <v>153450</v>
      </c>
    </row>
    <row r="9" ht="18.75" customHeight="1">
      <c r="A9" s="23">
        <v>3.0</v>
      </c>
      <c r="B9" s="25"/>
      <c r="C9" s="26"/>
      <c r="D9" s="29"/>
      <c r="E9" s="31">
        <v>0.0</v>
      </c>
      <c r="F9" s="32">
        <v>0.0</v>
      </c>
      <c r="G9" s="34">
        <f t="shared" si="1"/>
        <v>0</v>
      </c>
      <c r="H9" s="35">
        <f t="shared" si="2"/>
        <v>0</v>
      </c>
      <c r="I9" s="36">
        <f t="shared" si="3"/>
        <v>0</v>
      </c>
      <c r="J9" s="37">
        <f t="shared" si="4"/>
        <v>0.4</v>
      </c>
      <c r="K9" s="35">
        <f t="shared" si="5"/>
        <v>0</v>
      </c>
      <c r="L9" s="38">
        <f t="shared" si="6"/>
        <v>0</v>
      </c>
      <c r="M9" s="39">
        <f t="shared" si="7"/>
        <v>0</v>
      </c>
      <c r="N9" s="40">
        <f t="shared" si="8"/>
        <v>0</v>
      </c>
    </row>
    <row r="10" ht="18.75" customHeight="1">
      <c r="A10" s="23">
        <v>4.0</v>
      </c>
      <c r="B10" s="25"/>
      <c r="C10" s="26"/>
      <c r="D10" s="29"/>
      <c r="E10" s="31">
        <v>0.0</v>
      </c>
      <c r="F10" s="32">
        <v>0.0</v>
      </c>
      <c r="G10" s="34">
        <f t="shared" si="1"/>
        <v>0</v>
      </c>
      <c r="H10" s="35">
        <f t="shared" si="2"/>
        <v>0</v>
      </c>
      <c r="I10" s="36">
        <f t="shared" si="3"/>
        <v>0</v>
      </c>
      <c r="J10" s="37">
        <f t="shared" si="4"/>
        <v>0.4</v>
      </c>
      <c r="K10" s="35">
        <f t="shared" si="5"/>
        <v>0</v>
      </c>
      <c r="L10" s="38">
        <f t="shared" si="6"/>
        <v>0</v>
      </c>
      <c r="M10" s="39">
        <f t="shared" si="7"/>
        <v>0</v>
      </c>
      <c r="N10" s="40">
        <f t="shared" si="8"/>
        <v>0</v>
      </c>
    </row>
    <row r="11" ht="18.75" customHeight="1">
      <c r="A11" s="23">
        <v>5.0</v>
      </c>
      <c r="B11" s="25"/>
      <c r="C11" s="26"/>
      <c r="D11" s="29"/>
      <c r="E11" s="31">
        <v>0.0</v>
      </c>
      <c r="F11" s="32">
        <v>0.0</v>
      </c>
      <c r="G11" s="34">
        <f t="shared" si="1"/>
        <v>0</v>
      </c>
      <c r="H11" s="35">
        <f t="shared" si="2"/>
        <v>0</v>
      </c>
      <c r="I11" s="36">
        <f t="shared" si="3"/>
        <v>0</v>
      </c>
      <c r="J11" s="37">
        <f t="shared" si="4"/>
        <v>0.4</v>
      </c>
      <c r="K11" s="35">
        <f t="shared" si="5"/>
        <v>0</v>
      </c>
      <c r="L11" s="38">
        <f t="shared" si="6"/>
        <v>0</v>
      </c>
      <c r="M11" s="39">
        <f t="shared" si="7"/>
        <v>0</v>
      </c>
      <c r="N11" s="40">
        <f t="shared" si="8"/>
        <v>0</v>
      </c>
    </row>
    <row r="12" ht="18.75" customHeight="1">
      <c r="A12" s="23">
        <v>6.0</v>
      </c>
      <c r="B12" s="25"/>
      <c r="C12" s="26"/>
      <c r="D12" s="29"/>
      <c r="E12" s="31">
        <v>0.0</v>
      </c>
      <c r="F12" s="32">
        <v>0.0</v>
      </c>
      <c r="G12" s="34">
        <f t="shared" si="1"/>
        <v>0</v>
      </c>
      <c r="H12" s="35">
        <f t="shared" si="2"/>
        <v>0</v>
      </c>
      <c r="I12" s="36">
        <f t="shared" si="3"/>
        <v>0</v>
      </c>
      <c r="J12" s="37">
        <f t="shared" si="4"/>
        <v>0.4</v>
      </c>
      <c r="K12" s="35">
        <f t="shared" si="5"/>
        <v>0</v>
      </c>
      <c r="L12" s="38">
        <f t="shared" si="6"/>
        <v>0</v>
      </c>
      <c r="M12" s="39">
        <f t="shared" si="7"/>
        <v>0</v>
      </c>
      <c r="N12" s="40">
        <f t="shared" si="8"/>
        <v>0</v>
      </c>
    </row>
    <row r="13" ht="18.75" customHeight="1">
      <c r="A13" s="23">
        <v>7.0</v>
      </c>
      <c r="B13" s="25"/>
      <c r="C13" s="26"/>
      <c r="D13" s="29"/>
      <c r="E13" s="31">
        <v>0.0</v>
      </c>
      <c r="F13" s="32">
        <v>0.0</v>
      </c>
      <c r="G13" s="34">
        <f t="shared" si="1"/>
        <v>0</v>
      </c>
      <c r="H13" s="35">
        <f t="shared" si="2"/>
        <v>0</v>
      </c>
      <c r="I13" s="36">
        <f t="shared" si="3"/>
        <v>0</v>
      </c>
      <c r="J13" s="37">
        <f t="shared" si="4"/>
        <v>0.4</v>
      </c>
      <c r="K13" s="35">
        <f t="shared" si="5"/>
        <v>0</v>
      </c>
      <c r="L13" s="38">
        <f t="shared" si="6"/>
        <v>0</v>
      </c>
      <c r="M13" s="39">
        <f t="shared" si="7"/>
        <v>0</v>
      </c>
      <c r="N13" s="40">
        <f t="shared" si="8"/>
        <v>0</v>
      </c>
    </row>
    <row r="14" ht="18.75" customHeight="1">
      <c r="A14" s="23">
        <v>8.0</v>
      </c>
      <c r="B14" s="25"/>
      <c r="C14" s="26"/>
      <c r="D14" s="29"/>
      <c r="E14" s="31">
        <v>0.0</v>
      </c>
      <c r="F14" s="32">
        <v>0.0</v>
      </c>
      <c r="G14" s="34">
        <f t="shared" si="1"/>
        <v>0</v>
      </c>
      <c r="H14" s="35">
        <f t="shared" si="2"/>
        <v>0</v>
      </c>
      <c r="I14" s="36">
        <f t="shared" si="3"/>
        <v>0</v>
      </c>
      <c r="J14" s="37">
        <f t="shared" si="4"/>
        <v>0.4</v>
      </c>
      <c r="K14" s="35">
        <f t="shared" si="5"/>
        <v>0</v>
      </c>
      <c r="L14" s="38">
        <f t="shared" si="6"/>
        <v>0</v>
      </c>
      <c r="M14" s="39">
        <f t="shared" si="7"/>
        <v>0</v>
      </c>
      <c r="N14" s="40">
        <f t="shared" si="8"/>
        <v>0</v>
      </c>
    </row>
    <row r="15" ht="18.75" customHeight="1">
      <c r="A15" s="23">
        <v>9.0</v>
      </c>
      <c r="B15" s="25"/>
      <c r="C15" s="26"/>
      <c r="D15" s="29"/>
      <c r="E15" s="31">
        <v>0.0</v>
      </c>
      <c r="F15" s="32">
        <v>0.0</v>
      </c>
      <c r="G15" s="34">
        <f t="shared" si="1"/>
        <v>0</v>
      </c>
      <c r="H15" s="35">
        <f t="shared" si="2"/>
        <v>0</v>
      </c>
      <c r="I15" s="36">
        <f t="shared" si="3"/>
        <v>0</v>
      </c>
      <c r="J15" s="37">
        <f t="shared" si="4"/>
        <v>0.4</v>
      </c>
      <c r="K15" s="35">
        <f t="shared" si="5"/>
        <v>0</v>
      </c>
      <c r="L15" s="38">
        <f t="shared" si="6"/>
        <v>0</v>
      </c>
      <c r="M15" s="39">
        <f t="shared" si="7"/>
        <v>0</v>
      </c>
      <c r="N15" s="40">
        <f t="shared" si="8"/>
        <v>0</v>
      </c>
    </row>
    <row r="16" ht="18.75" customHeight="1">
      <c r="A16" s="23">
        <v>10.0</v>
      </c>
      <c r="B16" s="25"/>
      <c r="C16" s="26"/>
      <c r="D16" s="29"/>
      <c r="E16" s="31">
        <v>0.0</v>
      </c>
      <c r="F16" s="55">
        <v>0.0</v>
      </c>
      <c r="G16" s="34">
        <f t="shared" si="1"/>
        <v>0</v>
      </c>
      <c r="H16" s="35">
        <f t="shared" si="2"/>
        <v>0</v>
      </c>
      <c r="I16" s="36">
        <f t="shared" si="3"/>
        <v>0</v>
      </c>
      <c r="J16" s="37">
        <f t="shared" si="4"/>
        <v>0.4</v>
      </c>
      <c r="K16" s="35">
        <f t="shared" si="5"/>
        <v>0</v>
      </c>
      <c r="L16" s="38">
        <f t="shared" si="6"/>
        <v>0</v>
      </c>
      <c r="M16" s="39">
        <f t="shared" si="7"/>
        <v>0</v>
      </c>
      <c r="N16" s="40">
        <f t="shared" si="8"/>
        <v>0</v>
      </c>
    </row>
    <row r="17" ht="18.75" customHeight="1">
      <c r="A17" s="23">
        <v>11.0</v>
      </c>
      <c r="B17" s="25"/>
      <c r="C17" s="26"/>
      <c r="D17" s="29"/>
      <c r="E17" s="31">
        <v>0.0</v>
      </c>
      <c r="F17" s="55">
        <v>0.0</v>
      </c>
      <c r="G17" s="34">
        <f t="shared" si="1"/>
        <v>0</v>
      </c>
      <c r="H17" s="35">
        <f t="shared" si="2"/>
        <v>0</v>
      </c>
      <c r="I17" s="36">
        <f t="shared" si="3"/>
        <v>0</v>
      </c>
      <c r="J17" s="37">
        <f t="shared" si="4"/>
        <v>0.4</v>
      </c>
      <c r="K17" s="35">
        <f t="shared" si="5"/>
        <v>0</v>
      </c>
      <c r="L17" s="38">
        <f t="shared" si="6"/>
        <v>0</v>
      </c>
      <c r="M17" s="39">
        <f t="shared" si="7"/>
        <v>0</v>
      </c>
      <c r="N17" s="40">
        <f t="shared" si="8"/>
        <v>0</v>
      </c>
    </row>
    <row r="18" ht="18.75" customHeight="1">
      <c r="A18" s="23">
        <v>12.0</v>
      </c>
      <c r="B18" s="25"/>
      <c r="C18" s="26"/>
      <c r="D18" s="29"/>
      <c r="E18" s="31">
        <v>0.0</v>
      </c>
      <c r="F18" s="55">
        <v>0.0</v>
      </c>
      <c r="G18" s="34">
        <f t="shared" si="1"/>
        <v>0</v>
      </c>
      <c r="H18" s="35">
        <f t="shared" si="2"/>
        <v>0</v>
      </c>
      <c r="I18" s="36">
        <f t="shared" si="3"/>
        <v>0</v>
      </c>
      <c r="J18" s="37">
        <f t="shared" si="4"/>
        <v>0.4</v>
      </c>
      <c r="K18" s="35">
        <f t="shared" si="5"/>
        <v>0</v>
      </c>
      <c r="L18" s="38">
        <f t="shared" si="6"/>
        <v>0</v>
      </c>
      <c r="M18" s="39">
        <f t="shared" si="7"/>
        <v>0</v>
      </c>
      <c r="N18" s="40">
        <f t="shared" si="8"/>
        <v>0</v>
      </c>
    </row>
    <row r="19" ht="18.75" customHeight="1">
      <c r="A19" s="23">
        <v>13.0</v>
      </c>
      <c r="B19" s="25"/>
      <c r="C19" s="26"/>
      <c r="D19" s="29"/>
      <c r="E19" s="31">
        <v>0.0</v>
      </c>
      <c r="F19" s="55">
        <v>0.0</v>
      </c>
      <c r="G19" s="34">
        <f t="shared" si="1"/>
        <v>0</v>
      </c>
      <c r="H19" s="35">
        <f t="shared" si="2"/>
        <v>0</v>
      </c>
      <c r="I19" s="36">
        <f t="shared" si="3"/>
        <v>0</v>
      </c>
      <c r="J19" s="37">
        <f t="shared" si="4"/>
        <v>0.4</v>
      </c>
      <c r="K19" s="35">
        <f t="shared" si="5"/>
        <v>0</v>
      </c>
      <c r="L19" s="38">
        <f t="shared" si="6"/>
        <v>0</v>
      </c>
      <c r="M19" s="39">
        <f t="shared" si="7"/>
        <v>0</v>
      </c>
      <c r="N19" s="40">
        <f t="shared" si="8"/>
        <v>0</v>
      </c>
    </row>
    <row r="20" ht="18.75" customHeight="1">
      <c r="A20" s="23">
        <v>14.0</v>
      </c>
      <c r="B20" s="25"/>
      <c r="C20" s="26"/>
      <c r="D20" s="29"/>
      <c r="E20" s="31">
        <v>0.0</v>
      </c>
      <c r="F20" s="55">
        <v>0.0</v>
      </c>
      <c r="G20" s="34">
        <f t="shared" si="1"/>
        <v>0</v>
      </c>
      <c r="H20" s="35">
        <f t="shared" si="2"/>
        <v>0</v>
      </c>
      <c r="I20" s="36">
        <f t="shared" si="3"/>
        <v>0</v>
      </c>
      <c r="J20" s="37">
        <f t="shared" si="4"/>
        <v>0.4</v>
      </c>
      <c r="K20" s="35">
        <f t="shared" si="5"/>
        <v>0</v>
      </c>
      <c r="L20" s="38">
        <f t="shared" si="6"/>
        <v>0</v>
      </c>
      <c r="M20" s="39">
        <f t="shared" si="7"/>
        <v>0</v>
      </c>
      <c r="N20" s="40">
        <f t="shared" si="8"/>
        <v>0</v>
      </c>
    </row>
    <row r="21" ht="18.75" customHeight="1">
      <c r="A21" s="23">
        <v>15.0</v>
      </c>
      <c r="B21" s="25"/>
      <c r="C21" s="26"/>
      <c r="D21" s="29"/>
      <c r="E21" s="31">
        <v>0.0</v>
      </c>
      <c r="F21" s="55">
        <v>0.0</v>
      </c>
      <c r="G21" s="34">
        <f t="shared" si="1"/>
        <v>0</v>
      </c>
      <c r="H21" s="35">
        <f t="shared" si="2"/>
        <v>0</v>
      </c>
      <c r="I21" s="36">
        <f t="shared" si="3"/>
        <v>0</v>
      </c>
      <c r="J21" s="37">
        <f t="shared" si="4"/>
        <v>0.4</v>
      </c>
      <c r="K21" s="35">
        <f t="shared" si="5"/>
        <v>0</v>
      </c>
      <c r="L21" s="38">
        <f t="shared" si="6"/>
        <v>0</v>
      </c>
      <c r="M21" s="39">
        <f t="shared" si="7"/>
        <v>0</v>
      </c>
      <c r="N21" s="40">
        <f t="shared" si="8"/>
        <v>0</v>
      </c>
    </row>
    <row r="22" ht="18.75" customHeight="1">
      <c r="A22" s="23">
        <v>16.0</v>
      </c>
      <c r="B22" s="25"/>
      <c r="C22" s="26"/>
      <c r="D22" s="29"/>
      <c r="E22" s="31">
        <v>0.0</v>
      </c>
      <c r="F22" s="55">
        <v>0.0</v>
      </c>
      <c r="G22" s="34">
        <f t="shared" si="1"/>
        <v>0</v>
      </c>
      <c r="H22" s="35">
        <f t="shared" si="2"/>
        <v>0</v>
      </c>
      <c r="I22" s="36">
        <f t="shared" si="3"/>
        <v>0</v>
      </c>
      <c r="J22" s="37">
        <f t="shared" si="4"/>
        <v>0.4</v>
      </c>
      <c r="K22" s="35">
        <f t="shared" si="5"/>
        <v>0</v>
      </c>
      <c r="L22" s="38">
        <f t="shared" si="6"/>
        <v>0</v>
      </c>
      <c r="M22" s="39">
        <f t="shared" si="7"/>
        <v>0</v>
      </c>
      <c r="N22" s="40">
        <f t="shared" si="8"/>
        <v>0</v>
      </c>
    </row>
    <row r="23" ht="18.75" customHeight="1">
      <c r="A23" s="23">
        <v>17.0</v>
      </c>
      <c r="B23" s="25"/>
      <c r="C23" s="26"/>
      <c r="D23" s="29"/>
      <c r="E23" s="31">
        <v>0.0</v>
      </c>
      <c r="F23" s="55">
        <v>0.0</v>
      </c>
      <c r="G23" s="34">
        <f t="shared" si="1"/>
        <v>0</v>
      </c>
      <c r="H23" s="35">
        <f t="shared" si="2"/>
        <v>0</v>
      </c>
      <c r="I23" s="36">
        <f t="shared" si="3"/>
        <v>0</v>
      </c>
      <c r="J23" s="37">
        <f t="shared" si="4"/>
        <v>0.4</v>
      </c>
      <c r="K23" s="35">
        <f t="shared" si="5"/>
        <v>0</v>
      </c>
      <c r="L23" s="38">
        <f t="shared" si="6"/>
        <v>0</v>
      </c>
      <c r="M23" s="39">
        <f t="shared" si="7"/>
        <v>0</v>
      </c>
      <c r="N23" s="40">
        <f t="shared" si="8"/>
        <v>0</v>
      </c>
    </row>
    <row r="24" ht="18.75" customHeight="1">
      <c r="A24" s="23">
        <v>18.0</v>
      </c>
      <c r="B24" s="25"/>
      <c r="C24" s="26"/>
      <c r="D24" s="29"/>
      <c r="E24" s="31">
        <v>0.0</v>
      </c>
      <c r="F24" s="55">
        <v>0.0</v>
      </c>
      <c r="G24" s="34">
        <f t="shared" si="1"/>
        <v>0</v>
      </c>
      <c r="H24" s="35">
        <f t="shared" si="2"/>
        <v>0</v>
      </c>
      <c r="I24" s="36">
        <f t="shared" si="3"/>
        <v>0</v>
      </c>
      <c r="J24" s="37">
        <f t="shared" si="4"/>
        <v>0.4</v>
      </c>
      <c r="K24" s="35">
        <f t="shared" si="5"/>
        <v>0</v>
      </c>
      <c r="L24" s="38">
        <f t="shared" si="6"/>
        <v>0</v>
      </c>
      <c r="M24" s="39">
        <f t="shared" si="7"/>
        <v>0</v>
      </c>
      <c r="N24" s="40">
        <f t="shared" si="8"/>
        <v>0</v>
      </c>
    </row>
    <row r="25" ht="18.75" customHeight="1">
      <c r="A25" s="23">
        <v>19.0</v>
      </c>
      <c r="B25" s="25"/>
      <c r="C25" s="26"/>
      <c r="D25" s="29"/>
      <c r="E25" s="31">
        <v>0.0</v>
      </c>
      <c r="F25" s="55">
        <v>0.0</v>
      </c>
      <c r="G25" s="34">
        <f t="shared" si="1"/>
        <v>0</v>
      </c>
      <c r="H25" s="35">
        <f t="shared" si="2"/>
        <v>0</v>
      </c>
      <c r="I25" s="36">
        <f t="shared" si="3"/>
        <v>0</v>
      </c>
      <c r="J25" s="37">
        <f t="shared" si="4"/>
        <v>0.4</v>
      </c>
      <c r="K25" s="35">
        <f t="shared" si="5"/>
        <v>0</v>
      </c>
      <c r="L25" s="38">
        <f t="shared" si="6"/>
        <v>0</v>
      </c>
      <c r="M25" s="39">
        <f t="shared" si="7"/>
        <v>0</v>
      </c>
      <c r="N25" s="40">
        <f t="shared" si="8"/>
        <v>0</v>
      </c>
    </row>
    <row r="26" ht="18.75" customHeight="1">
      <c r="A26" s="23">
        <v>20.0</v>
      </c>
      <c r="B26" s="25"/>
      <c r="C26" s="26"/>
      <c r="D26" s="29"/>
      <c r="E26" s="31">
        <v>0.0</v>
      </c>
      <c r="F26" s="55">
        <v>0.0</v>
      </c>
      <c r="G26" s="34">
        <f t="shared" si="1"/>
        <v>0</v>
      </c>
      <c r="H26" s="35">
        <f t="shared" si="2"/>
        <v>0</v>
      </c>
      <c r="I26" s="36">
        <f t="shared" si="3"/>
        <v>0</v>
      </c>
      <c r="J26" s="37">
        <f t="shared" si="4"/>
        <v>0.4</v>
      </c>
      <c r="K26" s="35">
        <f t="shared" si="5"/>
        <v>0</v>
      </c>
      <c r="L26" s="38">
        <f t="shared" si="6"/>
        <v>0</v>
      </c>
      <c r="M26" s="39">
        <f t="shared" si="7"/>
        <v>0</v>
      </c>
      <c r="N26" s="40">
        <f t="shared" si="8"/>
        <v>0</v>
      </c>
    </row>
    <row r="27" ht="18.75" customHeight="1">
      <c r="A27" s="23">
        <v>21.0</v>
      </c>
      <c r="B27" s="25"/>
      <c r="C27" s="26"/>
      <c r="D27" s="29"/>
      <c r="E27" s="31">
        <v>0.0</v>
      </c>
      <c r="F27" s="55">
        <v>0.0</v>
      </c>
      <c r="G27" s="34">
        <f t="shared" si="1"/>
        <v>0</v>
      </c>
      <c r="H27" s="35">
        <f t="shared" si="2"/>
        <v>0</v>
      </c>
      <c r="I27" s="36">
        <f t="shared" si="3"/>
        <v>0</v>
      </c>
      <c r="J27" s="37">
        <f t="shared" si="4"/>
        <v>0.4</v>
      </c>
      <c r="K27" s="35">
        <f t="shared" si="5"/>
        <v>0</v>
      </c>
      <c r="L27" s="38">
        <f t="shared" si="6"/>
        <v>0</v>
      </c>
      <c r="M27" s="39">
        <f t="shared" si="7"/>
        <v>0</v>
      </c>
      <c r="N27" s="40">
        <f t="shared" si="8"/>
        <v>0</v>
      </c>
    </row>
    <row r="28" ht="18.75" customHeight="1">
      <c r="A28" s="23">
        <v>22.0</v>
      </c>
      <c r="B28" s="25"/>
      <c r="C28" s="26"/>
      <c r="D28" s="29"/>
      <c r="E28" s="31">
        <v>0.0</v>
      </c>
      <c r="F28" s="55">
        <v>0.0</v>
      </c>
      <c r="G28" s="34">
        <f t="shared" si="1"/>
        <v>0</v>
      </c>
      <c r="H28" s="35">
        <f t="shared" si="2"/>
        <v>0</v>
      </c>
      <c r="I28" s="36">
        <f t="shared" si="3"/>
        <v>0</v>
      </c>
      <c r="J28" s="37">
        <f t="shared" si="4"/>
        <v>0.4</v>
      </c>
      <c r="K28" s="35">
        <f t="shared" si="5"/>
        <v>0</v>
      </c>
      <c r="L28" s="38">
        <f t="shared" si="6"/>
        <v>0</v>
      </c>
      <c r="M28" s="39">
        <f t="shared" si="7"/>
        <v>0</v>
      </c>
      <c r="N28" s="40">
        <f t="shared" si="8"/>
        <v>0</v>
      </c>
    </row>
    <row r="29" ht="18.75" customHeight="1">
      <c r="A29" s="23">
        <v>23.0</v>
      </c>
      <c r="B29" s="25"/>
      <c r="C29" s="26"/>
      <c r="D29" s="29"/>
      <c r="E29" s="31">
        <v>0.0</v>
      </c>
      <c r="F29" s="55">
        <v>0.0</v>
      </c>
      <c r="G29" s="34">
        <f t="shared" si="1"/>
        <v>0</v>
      </c>
      <c r="H29" s="35">
        <f t="shared" si="2"/>
        <v>0</v>
      </c>
      <c r="I29" s="36">
        <f t="shared" si="3"/>
        <v>0</v>
      </c>
      <c r="J29" s="37">
        <f t="shared" si="4"/>
        <v>0.4</v>
      </c>
      <c r="K29" s="35">
        <f t="shared" si="5"/>
        <v>0</v>
      </c>
      <c r="L29" s="38">
        <f t="shared" si="6"/>
        <v>0</v>
      </c>
      <c r="M29" s="39">
        <f t="shared" si="7"/>
        <v>0</v>
      </c>
      <c r="N29" s="40">
        <f t="shared" si="8"/>
        <v>0</v>
      </c>
    </row>
    <row r="30" ht="18.75" customHeight="1">
      <c r="A30" s="23">
        <v>24.0</v>
      </c>
      <c r="B30" s="25"/>
      <c r="C30" s="26"/>
      <c r="D30" s="29"/>
      <c r="E30" s="31">
        <v>0.0</v>
      </c>
      <c r="F30" s="55">
        <v>0.0</v>
      </c>
      <c r="G30" s="34">
        <f t="shared" si="1"/>
        <v>0</v>
      </c>
      <c r="H30" s="35">
        <f t="shared" si="2"/>
        <v>0</v>
      </c>
      <c r="I30" s="36">
        <f t="shared" si="3"/>
        <v>0</v>
      </c>
      <c r="J30" s="37">
        <f t="shared" si="4"/>
        <v>0.4</v>
      </c>
      <c r="K30" s="35">
        <f t="shared" si="5"/>
        <v>0</v>
      </c>
      <c r="L30" s="38">
        <f t="shared" si="6"/>
        <v>0</v>
      </c>
      <c r="M30" s="39">
        <f t="shared" si="7"/>
        <v>0</v>
      </c>
      <c r="N30" s="40">
        <f t="shared" si="8"/>
        <v>0</v>
      </c>
    </row>
    <row r="31" ht="18.75" customHeight="1">
      <c r="A31" s="23">
        <v>25.0</v>
      </c>
      <c r="B31" s="25"/>
      <c r="C31" s="26"/>
      <c r="D31" s="29"/>
      <c r="E31" s="31">
        <v>0.0</v>
      </c>
      <c r="F31" s="55">
        <v>0.0</v>
      </c>
      <c r="G31" s="34">
        <f t="shared" si="1"/>
        <v>0</v>
      </c>
      <c r="H31" s="35">
        <f t="shared" si="2"/>
        <v>0</v>
      </c>
      <c r="I31" s="36">
        <f t="shared" si="3"/>
        <v>0</v>
      </c>
      <c r="J31" s="37">
        <f t="shared" si="4"/>
        <v>0.4</v>
      </c>
      <c r="K31" s="35">
        <f t="shared" si="5"/>
        <v>0</v>
      </c>
      <c r="L31" s="38">
        <f t="shared" si="6"/>
        <v>0</v>
      </c>
      <c r="M31" s="39">
        <f t="shared" si="7"/>
        <v>0</v>
      </c>
      <c r="N31" s="40">
        <f t="shared" si="8"/>
        <v>0</v>
      </c>
    </row>
    <row r="32" ht="18.75" customHeight="1">
      <c r="A32" s="23">
        <v>26.0</v>
      </c>
      <c r="B32" s="25"/>
      <c r="C32" s="26"/>
      <c r="D32" s="29"/>
      <c r="E32" s="31">
        <v>0.0</v>
      </c>
      <c r="F32" s="55">
        <v>0.0</v>
      </c>
      <c r="G32" s="34">
        <f t="shared" si="1"/>
        <v>0</v>
      </c>
      <c r="H32" s="35">
        <f t="shared" si="2"/>
        <v>0</v>
      </c>
      <c r="I32" s="36">
        <f t="shared" si="3"/>
        <v>0</v>
      </c>
      <c r="J32" s="37">
        <f t="shared" si="4"/>
        <v>0.4</v>
      </c>
      <c r="K32" s="35">
        <f t="shared" si="5"/>
        <v>0</v>
      </c>
      <c r="L32" s="38">
        <f t="shared" si="6"/>
        <v>0</v>
      </c>
      <c r="M32" s="39">
        <f t="shared" si="7"/>
        <v>0</v>
      </c>
      <c r="N32" s="40">
        <f t="shared" si="8"/>
        <v>0</v>
      </c>
    </row>
    <row r="33" ht="18.75" customHeight="1">
      <c r="A33" s="23">
        <v>27.0</v>
      </c>
      <c r="B33" s="25"/>
      <c r="C33" s="26"/>
      <c r="D33" s="29"/>
      <c r="E33" s="31">
        <v>0.0</v>
      </c>
      <c r="F33" s="55">
        <v>0.0</v>
      </c>
      <c r="G33" s="34">
        <f t="shared" si="1"/>
        <v>0</v>
      </c>
      <c r="H33" s="35">
        <f t="shared" si="2"/>
        <v>0</v>
      </c>
      <c r="I33" s="36">
        <f t="shared" si="3"/>
        <v>0</v>
      </c>
      <c r="J33" s="37">
        <f t="shared" si="4"/>
        <v>0.4</v>
      </c>
      <c r="K33" s="35">
        <f t="shared" si="5"/>
        <v>0</v>
      </c>
      <c r="L33" s="38">
        <f t="shared" si="6"/>
        <v>0</v>
      </c>
      <c r="M33" s="39">
        <f t="shared" si="7"/>
        <v>0</v>
      </c>
      <c r="N33" s="40">
        <f t="shared" si="8"/>
        <v>0</v>
      </c>
    </row>
    <row r="34" ht="18.75" customHeight="1">
      <c r="A34" s="23">
        <v>28.0</v>
      </c>
      <c r="B34" s="25"/>
      <c r="C34" s="26"/>
      <c r="D34" s="29"/>
      <c r="E34" s="31">
        <v>0.0</v>
      </c>
      <c r="F34" s="55">
        <v>0.0</v>
      </c>
      <c r="G34" s="34">
        <f t="shared" si="1"/>
        <v>0</v>
      </c>
      <c r="H34" s="35">
        <f t="shared" si="2"/>
        <v>0</v>
      </c>
      <c r="I34" s="36">
        <f t="shared" si="3"/>
        <v>0</v>
      </c>
      <c r="J34" s="37">
        <f t="shared" si="4"/>
        <v>0.4</v>
      </c>
      <c r="K34" s="35">
        <f t="shared" si="5"/>
        <v>0</v>
      </c>
      <c r="L34" s="38">
        <f t="shared" si="6"/>
        <v>0</v>
      </c>
      <c r="M34" s="39">
        <f t="shared" si="7"/>
        <v>0</v>
      </c>
      <c r="N34" s="40">
        <f t="shared" si="8"/>
        <v>0</v>
      </c>
    </row>
    <row r="35" ht="18.75" customHeight="1">
      <c r="A35" s="23">
        <v>29.0</v>
      </c>
      <c r="B35" s="25"/>
      <c r="C35" s="26"/>
      <c r="D35" s="29"/>
      <c r="E35" s="31">
        <v>0.0</v>
      </c>
      <c r="F35" s="32">
        <v>0.0</v>
      </c>
      <c r="G35" s="34">
        <f t="shared" si="1"/>
        <v>0</v>
      </c>
      <c r="H35" s="35">
        <f t="shared" si="2"/>
        <v>0</v>
      </c>
      <c r="I35" s="36">
        <f t="shared" si="3"/>
        <v>0</v>
      </c>
      <c r="J35" s="37">
        <f t="shared" si="4"/>
        <v>0.4</v>
      </c>
      <c r="K35" s="35">
        <f t="shared" si="5"/>
        <v>0</v>
      </c>
      <c r="L35" s="38">
        <f t="shared" si="6"/>
        <v>0</v>
      </c>
      <c r="M35" s="39">
        <f t="shared" si="7"/>
        <v>0</v>
      </c>
      <c r="N35" s="40">
        <f t="shared" si="8"/>
        <v>0</v>
      </c>
    </row>
    <row r="36" ht="18.75" customHeight="1">
      <c r="A36" s="75">
        <v>30.0</v>
      </c>
      <c r="B36" s="77" t="s">
        <v>71</v>
      </c>
      <c r="C36" s="77" t="s">
        <v>72</v>
      </c>
      <c r="D36" s="79" t="s">
        <v>73</v>
      </c>
      <c r="E36" s="80">
        <v>1.0</v>
      </c>
      <c r="F36" s="92">
        <v>60.0</v>
      </c>
      <c r="G36" s="82">
        <f t="shared" si="1"/>
        <v>93000</v>
      </c>
      <c r="H36" s="93">
        <v>0.0</v>
      </c>
      <c r="I36" s="85">
        <f t="shared" si="3"/>
        <v>93000</v>
      </c>
      <c r="J36" s="86">
        <f t="shared" si="4"/>
        <v>0.4</v>
      </c>
      <c r="K36" s="93">
        <v>0.0</v>
      </c>
      <c r="L36" s="87">
        <f t="shared" si="6"/>
        <v>130200</v>
      </c>
      <c r="M36" s="87">
        <f t="shared" si="7"/>
        <v>157542</v>
      </c>
      <c r="N36" s="88">
        <f t="shared" si="8"/>
        <v>37200</v>
      </c>
    </row>
    <row r="37" ht="24.0" customHeight="1">
      <c r="A37" s="41"/>
      <c r="B37" s="42" t="s">
        <v>37</v>
      </c>
      <c r="C37" s="43"/>
      <c r="D37" s="43"/>
      <c r="E37" s="44"/>
      <c r="F37" s="45">
        <f t="shared" ref="F37:I37" si="9">SUM(F7:F36)</f>
        <v>10062</v>
      </c>
      <c r="G37" s="46">
        <f t="shared" si="9"/>
        <v>15903000</v>
      </c>
      <c r="H37" s="46">
        <f t="shared" si="9"/>
        <v>1581000</v>
      </c>
      <c r="I37" s="46">
        <f t="shared" si="9"/>
        <v>17484000</v>
      </c>
      <c r="J37" s="47">
        <f>F4</f>
        <v>0.4</v>
      </c>
      <c r="K37" s="46">
        <f t="shared" ref="K37:N37" si="10">SUM(K7:K36)</f>
        <v>869550</v>
      </c>
      <c r="L37" s="46">
        <f t="shared" si="10"/>
        <v>25347150</v>
      </c>
      <c r="M37" s="46">
        <f t="shared" si="10"/>
        <v>30670051.5</v>
      </c>
      <c r="N37" s="46">
        <f t="shared" si="10"/>
        <v>7863150</v>
      </c>
    </row>
    <row r="38" ht="15.75" customHeight="1"/>
    <row r="39" ht="15.75" customHeight="1"/>
    <row r="40" ht="15.75" customHeight="1"/>
    <row r="41" ht="15.75" customHeight="1"/>
    <row r="42">
      <c r="G42" s="48" t="s">
        <v>40</v>
      </c>
      <c r="H42" s="49"/>
      <c r="I42" s="49"/>
      <c r="J42" s="49"/>
      <c r="K42" s="49"/>
      <c r="L42" s="49"/>
      <c r="M42" s="49"/>
      <c r="N42" s="50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G43" s="52" t="s">
        <v>42</v>
      </c>
      <c r="H43" s="49"/>
      <c r="I43" s="49"/>
      <c r="J43" s="49"/>
      <c r="K43" s="49"/>
      <c r="L43" s="49"/>
      <c r="M43" s="49"/>
      <c r="N43" s="50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G44" s="53" t="s">
        <v>43</v>
      </c>
      <c r="H44" s="53" t="s">
        <v>44</v>
      </c>
      <c r="I44" s="54" t="s">
        <v>45</v>
      </c>
      <c r="J44" s="54" t="s">
        <v>46</v>
      </c>
      <c r="K44" s="54" t="s">
        <v>47</v>
      </c>
      <c r="L44" s="54" t="s">
        <v>48</v>
      </c>
      <c r="M44" s="54" t="s">
        <v>50</v>
      </c>
      <c r="N44" s="54" t="s">
        <v>51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G45" s="56">
        <v>0.0</v>
      </c>
      <c r="H45" s="56">
        <v>0.0</v>
      </c>
      <c r="I45" s="95">
        <f t="shared" ref="I45:I47" si="11">IF(G45*H45=0,0,G45*H45*8)</f>
        <v>0</v>
      </c>
      <c r="J45" s="58">
        <v>15.125</v>
      </c>
      <c r="K45" s="59">
        <f t="shared" ref="K45:K47" si="12">IF(I45*J45=0,0,I45*J45)</f>
        <v>0</v>
      </c>
      <c r="L45" s="59">
        <f t="shared" ref="L45:L47" si="13">IF(K45=0,0,K45*(1+$D$4))</f>
        <v>0</v>
      </c>
      <c r="M45" s="60">
        <f t="shared" ref="M45:M47" si="14">IF(K45=0,0,K45*$B$4)</f>
        <v>0</v>
      </c>
      <c r="N45" s="61">
        <f t="shared" ref="N45:N47" si="15">IF(M45=0,0,M45*(1+$D$4))</f>
        <v>0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G46" s="62">
        <v>0.0</v>
      </c>
      <c r="H46" s="62">
        <v>0.0</v>
      </c>
      <c r="I46" s="95">
        <f t="shared" si="11"/>
        <v>0</v>
      </c>
      <c r="J46" s="58">
        <v>15.125</v>
      </c>
      <c r="K46" s="59">
        <f t="shared" si="12"/>
        <v>0</v>
      </c>
      <c r="L46" s="59">
        <f t="shared" si="13"/>
        <v>0</v>
      </c>
      <c r="M46" s="60">
        <f t="shared" si="14"/>
        <v>0</v>
      </c>
      <c r="N46" s="61">
        <f t="shared" si="15"/>
        <v>0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G47" s="62">
        <v>0.0</v>
      </c>
      <c r="H47" s="62">
        <v>0.0</v>
      </c>
      <c r="I47" s="95">
        <f t="shared" si="11"/>
        <v>0</v>
      </c>
      <c r="J47" s="58">
        <v>15.125</v>
      </c>
      <c r="K47" s="59">
        <f t="shared" si="12"/>
        <v>0</v>
      </c>
      <c r="L47" s="59">
        <f t="shared" si="13"/>
        <v>0</v>
      </c>
      <c r="M47" s="60">
        <f t="shared" si="14"/>
        <v>0</v>
      </c>
      <c r="N47" s="61">
        <f t="shared" si="15"/>
        <v>0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G48" s="63" t="s">
        <v>56</v>
      </c>
      <c r="H48" s="49"/>
      <c r="I48" s="49"/>
      <c r="J48" s="50"/>
      <c r="K48" s="64">
        <f t="shared" ref="K48:N48" si="16">SUM(K45:K47)</f>
        <v>0</v>
      </c>
      <c r="L48" s="65">
        <f t="shared" si="16"/>
        <v>0</v>
      </c>
      <c r="M48" s="65">
        <f t="shared" si="16"/>
        <v>0</v>
      </c>
      <c r="N48" s="65">
        <f t="shared" si="16"/>
        <v>0</v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66" t="s">
        <v>59</v>
      </c>
      <c r="H50" s="49"/>
      <c r="I50" s="49"/>
      <c r="J50" s="49"/>
      <c r="K50" s="49"/>
      <c r="L50" s="49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67" t="s">
        <v>60</v>
      </c>
      <c r="H51" s="68" t="s">
        <v>61</v>
      </c>
      <c r="I51" s="68" t="s">
        <v>62</v>
      </c>
      <c r="J51" s="67" t="s">
        <v>63</v>
      </c>
      <c r="K51" s="68" t="s">
        <v>47</v>
      </c>
      <c r="L51" s="68" t="s">
        <v>48</v>
      </c>
      <c r="M51" s="68" t="s">
        <v>50</v>
      </c>
      <c r="N51" s="68" t="s">
        <v>51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6">
        <v>0.0</v>
      </c>
      <c r="H52" s="56">
        <f t="shared" ref="H52:H54" si="17">G52</f>
        <v>0</v>
      </c>
      <c r="I52" s="96">
        <f t="shared" ref="I52:I54" si="18">IF(G52*2=0,0,G52*2)</f>
        <v>0</v>
      </c>
      <c r="J52" s="58">
        <v>1.331</v>
      </c>
      <c r="K52" s="70">
        <f t="shared" ref="K52:K54" si="19">IF(I52*J52=0,0,I52*J52)</f>
        <v>0</v>
      </c>
      <c r="L52" s="71">
        <f t="shared" ref="L52:L54" si="20">IF(K52=0,0,K52*$B$4*(1+$D$4))</f>
        <v>0</v>
      </c>
      <c r="M52" s="72">
        <f t="shared" ref="M52:M54" si="21">IF(K52=0,0,K52*$B$4)</f>
        <v>0</v>
      </c>
      <c r="N52" s="73">
        <f t="shared" ref="N52:N54" si="22">IF(M52=0,0,M52*(1+$D$4))</f>
        <v>0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62">
        <v>0.0</v>
      </c>
      <c r="H53" s="56">
        <f t="shared" si="17"/>
        <v>0</v>
      </c>
      <c r="I53" s="96">
        <f t="shared" si="18"/>
        <v>0</v>
      </c>
      <c r="J53" s="58">
        <v>1.331</v>
      </c>
      <c r="K53" s="70">
        <f t="shared" si="19"/>
        <v>0</v>
      </c>
      <c r="L53" s="71">
        <f t="shared" si="20"/>
        <v>0</v>
      </c>
      <c r="M53" s="72">
        <f t="shared" si="21"/>
        <v>0</v>
      </c>
      <c r="N53" s="73">
        <f t="shared" si="22"/>
        <v>0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G54" s="62">
        <v>0.0</v>
      </c>
      <c r="H54" s="56">
        <f t="shared" si="17"/>
        <v>0</v>
      </c>
      <c r="I54" s="96">
        <f t="shared" si="18"/>
        <v>0</v>
      </c>
      <c r="J54" s="58">
        <v>1.331</v>
      </c>
      <c r="K54" s="70">
        <f t="shared" si="19"/>
        <v>0</v>
      </c>
      <c r="L54" s="71">
        <f t="shared" si="20"/>
        <v>0</v>
      </c>
      <c r="M54" s="72">
        <f t="shared" si="21"/>
        <v>0</v>
      </c>
      <c r="N54" s="73">
        <f t="shared" si="22"/>
        <v>0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G55" s="74" t="s">
        <v>69</v>
      </c>
      <c r="H55" s="49"/>
      <c r="I55" s="49"/>
      <c r="J55" s="50"/>
      <c r="K55" s="76">
        <f t="shared" ref="K55:N55" si="23">SUM(K52:K54)</f>
        <v>0</v>
      </c>
      <c r="L55" s="78">
        <f t="shared" si="23"/>
        <v>0</v>
      </c>
      <c r="M55" s="78">
        <f t="shared" si="23"/>
        <v>0</v>
      </c>
      <c r="N55" s="78">
        <f t="shared" si="23"/>
        <v>0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/>
    <row r="58" ht="15.75" customHeight="1"/>
    <row r="59" ht="16.5" customHeight="1">
      <c r="A59" s="48" t="s">
        <v>76</v>
      </c>
      <c r="B59" s="49"/>
      <c r="C59" s="49"/>
      <c r="D59" s="5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6.5" customHeight="1">
      <c r="A60" s="52" t="s">
        <v>77</v>
      </c>
      <c r="B60" s="49"/>
      <c r="C60" s="49"/>
      <c r="D60" s="50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26.25" customHeight="1">
      <c r="A61" s="54" t="s">
        <v>16</v>
      </c>
      <c r="B61" s="54" t="s">
        <v>97</v>
      </c>
      <c r="C61" s="54" t="s">
        <v>27</v>
      </c>
      <c r="D61" s="54" t="s">
        <v>28</v>
      </c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6.5" customHeight="1">
      <c r="A62" s="90">
        <v>1.0</v>
      </c>
      <c r="B62" s="90" t="s">
        <v>81</v>
      </c>
      <c r="C62" s="91">
        <f t="shared" ref="C62:D62" si="24">L37</f>
        <v>25347150</v>
      </c>
      <c r="D62" s="91">
        <f t="shared" si="24"/>
        <v>30670051.5</v>
      </c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6.5" customHeight="1">
      <c r="A63" s="90">
        <v>2.0</v>
      </c>
      <c r="B63" s="90" t="s">
        <v>42</v>
      </c>
      <c r="C63" s="91">
        <f t="shared" ref="C63:D63" si="25">M48</f>
        <v>0</v>
      </c>
      <c r="D63" s="91">
        <f t="shared" si="25"/>
        <v>0</v>
      </c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6.5" customHeight="1">
      <c r="A64" s="90">
        <v>3.0</v>
      </c>
      <c r="B64" s="90" t="s">
        <v>59</v>
      </c>
      <c r="C64" s="91">
        <f t="shared" ref="C64:D64" si="26">M55</f>
        <v>0</v>
      </c>
      <c r="D64" s="91">
        <f t="shared" si="26"/>
        <v>0</v>
      </c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6.5" customHeight="1">
      <c r="A65" s="94" t="s">
        <v>84</v>
      </c>
      <c r="B65" s="50"/>
      <c r="C65" s="65">
        <f t="shared" ref="C65:D65" si="27">SUM(C62:C64)</f>
        <v>25347150</v>
      </c>
      <c r="D65" s="65">
        <f t="shared" si="27"/>
        <v>30670051.5</v>
      </c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G48:J48"/>
    <mergeCell ref="G55:J55"/>
    <mergeCell ref="A59:D59"/>
    <mergeCell ref="A60:D60"/>
    <mergeCell ref="A65:B65"/>
    <mergeCell ref="A1:N1"/>
    <mergeCell ref="A2:N2"/>
    <mergeCell ref="A3:N3"/>
    <mergeCell ref="K4:N5"/>
    <mergeCell ref="G42:N42"/>
    <mergeCell ref="G43:N43"/>
    <mergeCell ref="G50:N50"/>
  </mergeCells>
  <conditionalFormatting sqref="J7:J36">
    <cfRule type="cellIs" dxfId="0" priority="1" operator="lessThan">
      <formula>$H$4</formula>
    </cfRule>
  </conditionalFormatting>
  <conditionalFormatting sqref="J7:J36">
    <cfRule type="cellIs" dxfId="1" priority="2" operator="greaterThanOrEqual">
      <formula>$F$4</formula>
    </cfRule>
  </conditionalFormatting>
  <conditionalFormatting sqref="J7:J36">
    <cfRule type="cellIs" dxfId="2" priority="3" operator="between">
      <formula>$H$4</formula>
      <formula>$F$4</formula>
    </cfRule>
  </conditionalFormatting>
  <dataValidations>
    <dataValidation type="list" allowBlank="1" sqref="D7:D36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69.29"/>
    <col customWidth="1" min="3" max="3" width="22.43"/>
    <col customWidth="1" min="4" max="4" width="16.29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5.0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0.45</v>
      </c>
      <c r="G4" s="8" t="s">
        <v>6</v>
      </c>
      <c r="H4" s="9">
        <v>0.3</v>
      </c>
      <c r="I4" s="12" t="s">
        <v>9</v>
      </c>
      <c r="J4" s="14"/>
      <c r="K4" s="14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0.0</v>
      </c>
      <c r="E5" s="8" t="s">
        <v>13</v>
      </c>
      <c r="F5" s="16">
        <v>12.0</v>
      </c>
      <c r="G5" s="8" t="s">
        <v>14</v>
      </c>
      <c r="H5" s="16">
        <v>0.0</v>
      </c>
      <c r="I5" s="18"/>
      <c r="J5" s="17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0" t="s">
        <v>24</v>
      </c>
      <c r="J6" s="20" t="s">
        <v>25</v>
      </c>
      <c r="K6" s="20" t="s">
        <v>26</v>
      </c>
      <c r="L6" s="20" t="s">
        <v>27</v>
      </c>
      <c r="M6" s="20" t="s">
        <v>28</v>
      </c>
      <c r="N6" s="20" t="s">
        <v>29</v>
      </c>
    </row>
    <row r="7" ht="18.75" customHeight="1">
      <c r="A7" s="23">
        <v>1.0</v>
      </c>
      <c r="B7" s="25" t="s">
        <v>32</v>
      </c>
      <c r="C7" s="26"/>
      <c r="D7" s="29"/>
      <c r="E7" s="31">
        <v>1.0</v>
      </c>
      <c r="F7" s="32">
        <v>10000.0</v>
      </c>
      <c r="G7" s="34">
        <f t="shared" ref="G7:G36" si="1">IF(F7=0,0,F7*$B$4*E7)</f>
        <v>15500000</v>
      </c>
      <c r="H7" s="35">
        <f t="shared" ref="H7:H36" si="2">IF(F7=0,0,G7*$D$5)</f>
        <v>0</v>
      </c>
      <c r="I7" s="36">
        <f t="shared" ref="I7:I36" si="3">IF(F7=0,0,G7+H7)</f>
        <v>15500000</v>
      </c>
      <c r="J7" s="34">
        <f t="shared" ref="J7:J36" si="4">IF(F7=0,0,I7*(1+$D$4))</f>
        <v>18755000</v>
      </c>
      <c r="K7" s="37">
        <v>0.46</v>
      </c>
      <c r="L7" s="38">
        <f t="shared" ref="L7:L36" si="5">IF(F7=0,0,I7*(1+$F$4))</f>
        <v>22475000</v>
      </c>
      <c r="M7" s="39">
        <f t="shared" ref="M7:M36" si="6">IF(F7=0,0,L7*(1+$D$4))</f>
        <v>27194750</v>
      </c>
      <c r="N7" s="40">
        <f t="shared" ref="N7:N36" si="7">IF(F7=0,0,L7-I7)</f>
        <v>6975000</v>
      </c>
    </row>
    <row r="8" ht="18.75" customHeight="1">
      <c r="A8" s="23">
        <v>2.0</v>
      </c>
      <c r="B8" s="25" t="s">
        <v>35</v>
      </c>
      <c r="C8" s="26"/>
      <c r="D8" s="29"/>
      <c r="E8" s="31">
        <v>100.0</v>
      </c>
      <c r="F8" s="32">
        <v>2.0</v>
      </c>
      <c r="G8" s="34">
        <f t="shared" si="1"/>
        <v>310000</v>
      </c>
      <c r="H8" s="35">
        <f t="shared" si="2"/>
        <v>0</v>
      </c>
      <c r="I8" s="36">
        <f t="shared" si="3"/>
        <v>310000</v>
      </c>
      <c r="J8" s="34">
        <f t="shared" si="4"/>
        <v>375100</v>
      </c>
      <c r="K8" s="37">
        <v>0.46</v>
      </c>
      <c r="L8" s="38">
        <f t="shared" si="5"/>
        <v>449500</v>
      </c>
      <c r="M8" s="39">
        <f t="shared" si="6"/>
        <v>543895</v>
      </c>
      <c r="N8" s="40">
        <f t="shared" si="7"/>
        <v>139500</v>
      </c>
    </row>
    <row r="9" ht="18.75" customHeight="1">
      <c r="A9" s="23">
        <v>3.0</v>
      </c>
      <c r="B9" s="25"/>
      <c r="C9" s="26"/>
      <c r="D9" s="29"/>
      <c r="E9" s="31">
        <v>0.0</v>
      </c>
      <c r="F9" s="32">
        <v>0.0</v>
      </c>
      <c r="G9" s="34">
        <f t="shared" si="1"/>
        <v>0</v>
      </c>
      <c r="H9" s="35">
        <f t="shared" si="2"/>
        <v>0</v>
      </c>
      <c r="I9" s="36">
        <f t="shared" si="3"/>
        <v>0</v>
      </c>
      <c r="J9" s="34">
        <f t="shared" si="4"/>
        <v>0</v>
      </c>
      <c r="K9" s="37">
        <v>0.46</v>
      </c>
      <c r="L9" s="38">
        <f t="shared" si="5"/>
        <v>0</v>
      </c>
      <c r="M9" s="39">
        <f t="shared" si="6"/>
        <v>0</v>
      </c>
      <c r="N9" s="40">
        <f t="shared" si="7"/>
        <v>0</v>
      </c>
    </row>
    <row r="10" ht="18.75" customHeight="1">
      <c r="A10" s="23">
        <v>4.0</v>
      </c>
      <c r="B10" s="25"/>
      <c r="C10" s="26"/>
      <c r="D10" s="29"/>
      <c r="E10" s="31">
        <v>0.0</v>
      </c>
      <c r="F10" s="32">
        <v>0.0</v>
      </c>
      <c r="G10" s="34">
        <f t="shared" si="1"/>
        <v>0</v>
      </c>
      <c r="H10" s="35">
        <f t="shared" si="2"/>
        <v>0</v>
      </c>
      <c r="I10" s="36">
        <f t="shared" si="3"/>
        <v>0</v>
      </c>
      <c r="J10" s="34">
        <f t="shared" si="4"/>
        <v>0</v>
      </c>
      <c r="K10" s="37">
        <v>0.46</v>
      </c>
      <c r="L10" s="38">
        <f t="shared" si="5"/>
        <v>0</v>
      </c>
      <c r="M10" s="39">
        <f t="shared" si="6"/>
        <v>0</v>
      </c>
      <c r="N10" s="40">
        <f t="shared" si="7"/>
        <v>0</v>
      </c>
    </row>
    <row r="11" ht="18.75" customHeight="1">
      <c r="A11" s="23">
        <v>5.0</v>
      </c>
      <c r="B11" s="25"/>
      <c r="C11" s="26"/>
      <c r="D11" s="29"/>
      <c r="E11" s="31">
        <v>0.0</v>
      </c>
      <c r="F11" s="32">
        <v>0.0</v>
      </c>
      <c r="G11" s="34">
        <f t="shared" si="1"/>
        <v>0</v>
      </c>
      <c r="H11" s="35">
        <f t="shared" si="2"/>
        <v>0</v>
      </c>
      <c r="I11" s="36">
        <f t="shared" si="3"/>
        <v>0</v>
      </c>
      <c r="J11" s="34">
        <f t="shared" si="4"/>
        <v>0</v>
      </c>
      <c r="K11" s="37">
        <v>0.46</v>
      </c>
      <c r="L11" s="38">
        <f t="shared" si="5"/>
        <v>0</v>
      </c>
      <c r="M11" s="39">
        <f t="shared" si="6"/>
        <v>0</v>
      </c>
      <c r="N11" s="40">
        <f t="shared" si="7"/>
        <v>0</v>
      </c>
    </row>
    <row r="12" ht="18.75" customHeight="1">
      <c r="A12" s="23">
        <v>6.0</v>
      </c>
      <c r="B12" s="25"/>
      <c r="C12" s="26"/>
      <c r="D12" s="29"/>
      <c r="E12" s="31">
        <v>0.0</v>
      </c>
      <c r="F12" s="32">
        <v>0.0</v>
      </c>
      <c r="G12" s="34">
        <f t="shared" si="1"/>
        <v>0</v>
      </c>
      <c r="H12" s="35">
        <f t="shared" si="2"/>
        <v>0</v>
      </c>
      <c r="I12" s="36">
        <f t="shared" si="3"/>
        <v>0</v>
      </c>
      <c r="J12" s="34">
        <f t="shared" si="4"/>
        <v>0</v>
      </c>
      <c r="K12" s="37">
        <v>0.46</v>
      </c>
      <c r="L12" s="38">
        <f t="shared" si="5"/>
        <v>0</v>
      </c>
      <c r="M12" s="39">
        <f t="shared" si="6"/>
        <v>0</v>
      </c>
      <c r="N12" s="40">
        <f t="shared" si="7"/>
        <v>0</v>
      </c>
    </row>
    <row r="13" ht="18.75" customHeight="1">
      <c r="A13" s="23">
        <v>7.0</v>
      </c>
      <c r="B13" s="25"/>
      <c r="C13" s="26"/>
      <c r="D13" s="29"/>
      <c r="E13" s="31">
        <v>0.0</v>
      </c>
      <c r="F13" s="32">
        <v>0.0</v>
      </c>
      <c r="G13" s="34">
        <f t="shared" si="1"/>
        <v>0</v>
      </c>
      <c r="H13" s="35">
        <f t="shared" si="2"/>
        <v>0</v>
      </c>
      <c r="I13" s="36">
        <f t="shared" si="3"/>
        <v>0</v>
      </c>
      <c r="J13" s="34">
        <f t="shared" si="4"/>
        <v>0</v>
      </c>
      <c r="K13" s="37">
        <v>0.46</v>
      </c>
      <c r="L13" s="38">
        <f t="shared" si="5"/>
        <v>0</v>
      </c>
      <c r="M13" s="39">
        <f t="shared" si="6"/>
        <v>0</v>
      </c>
      <c r="N13" s="40">
        <f t="shared" si="7"/>
        <v>0</v>
      </c>
    </row>
    <row r="14" ht="18.75" customHeight="1">
      <c r="A14" s="23">
        <v>8.0</v>
      </c>
      <c r="B14" s="25"/>
      <c r="C14" s="26"/>
      <c r="D14" s="29"/>
      <c r="E14" s="31">
        <v>0.0</v>
      </c>
      <c r="F14" s="32">
        <v>0.0</v>
      </c>
      <c r="G14" s="34">
        <f t="shared" si="1"/>
        <v>0</v>
      </c>
      <c r="H14" s="35">
        <f t="shared" si="2"/>
        <v>0</v>
      </c>
      <c r="I14" s="36">
        <f t="shared" si="3"/>
        <v>0</v>
      </c>
      <c r="J14" s="34">
        <f t="shared" si="4"/>
        <v>0</v>
      </c>
      <c r="K14" s="37">
        <v>0.46</v>
      </c>
      <c r="L14" s="38">
        <f t="shared" si="5"/>
        <v>0</v>
      </c>
      <c r="M14" s="39">
        <f t="shared" si="6"/>
        <v>0</v>
      </c>
      <c r="N14" s="40">
        <f t="shared" si="7"/>
        <v>0</v>
      </c>
    </row>
    <row r="15" ht="18.75" customHeight="1">
      <c r="A15" s="23">
        <v>9.0</v>
      </c>
      <c r="B15" s="25"/>
      <c r="C15" s="26"/>
      <c r="D15" s="29"/>
      <c r="E15" s="31">
        <v>0.0</v>
      </c>
      <c r="F15" s="32">
        <v>0.0</v>
      </c>
      <c r="G15" s="34">
        <f t="shared" si="1"/>
        <v>0</v>
      </c>
      <c r="H15" s="35">
        <f t="shared" si="2"/>
        <v>0</v>
      </c>
      <c r="I15" s="36">
        <f t="shared" si="3"/>
        <v>0</v>
      </c>
      <c r="J15" s="34">
        <f t="shared" si="4"/>
        <v>0</v>
      </c>
      <c r="K15" s="37">
        <v>0.46</v>
      </c>
      <c r="L15" s="38">
        <f t="shared" si="5"/>
        <v>0</v>
      </c>
      <c r="M15" s="39">
        <f t="shared" si="6"/>
        <v>0</v>
      </c>
      <c r="N15" s="40">
        <f t="shared" si="7"/>
        <v>0</v>
      </c>
    </row>
    <row r="16" ht="18.75" customHeight="1">
      <c r="A16" s="23">
        <v>10.0</v>
      </c>
      <c r="B16" s="25"/>
      <c r="C16" s="26"/>
      <c r="D16" s="29"/>
      <c r="E16" s="31">
        <v>0.0</v>
      </c>
      <c r="F16" s="55">
        <v>0.0</v>
      </c>
      <c r="G16" s="34">
        <f t="shared" si="1"/>
        <v>0</v>
      </c>
      <c r="H16" s="35">
        <f t="shared" si="2"/>
        <v>0</v>
      </c>
      <c r="I16" s="36">
        <f t="shared" si="3"/>
        <v>0</v>
      </c>
      <c r="J16" s="34">
        <f t="shared" si="4"/>
        <v>0</v>
      </c>
      <c r="K16" s="37">
        <v>0.46</v>
      </c>
      <c r="L16" s="38">
        <f t="shared" si="5"/>
        <v>0</v>
      </c>
      <c r="M16" s="39">
        <f t="shared" si="6"/>
        <v>0</v>
      </c>
      <c r="N16" s="40">
        <f t="shared" si="7"/>
        <v>0</v>
      </c>
    </row>
    <row r="17" ht="18.75" customHeight="1">
      <c r="A17" s="23">
        <v>11.0</v>
      </c>
      <c r="B17" s="25"/>
      <c r="C17" s="26"/>
      <c r="D17" s="29"/>
      <c r="E17" s="31">
        <v>0.0</v>
      </c>
      <c r="F17" s="55">
        <v>0.0</v>
      </c>
      <c r="G17" s="34">
        <f t="shared" si="1"/>
        <v>0</v>
      </c>
      <c r="H17" s="35">
        <f t="shared" si="2"/>
        <v>0</v>
      </c>
      <c r="I17" s="36">
        <f t="shared" si="3"/>
        <v>0</v>
      </c>
      <c r="J17" s="34">
        <f t="shared" si="4"/>
        <v>0</v>
      </c>
      <c r="K17" s="37">
        <v>0.46</v>
      </c>
      <c r="L17" s="38">
        <f t="shared" si="5"/>
        <v>0</v>
      </c>
      <c r="M17" s="39">
        <f t="shared" si="6"/>
        <v>0</v>
      </c>
      <c r="N17" s="40">
        <f t="shared" si="7"/>
        <v>0</v>
      </c>
    </row>
    <row r="18" ht="18.75" customHeight="1">
      <c r="A18" s="23">
        <v>12.0</v>
      </c>
      <c r="B18" s="25"/>
      <c r="C18" s="26"/>
      <c r="D18" s="29"/>
      <c r="E18" s="31">
        <v>0.0</v>
      </c>
      <c r="F18" s="55">
        <v>0.0</v>
      </c>
      <c r="G18" s="34">
        <f t="shared" si="1"/>
        <v>0</v>
      </c>
      <c r="H18" s="35">
        <f t="shared" si="2"/>
        <v>0</v>
      </c>
      <c r="I18" s="36">
        <f t="shared" si="3"/>
        <v>0</v>
      </c>
      <c r="J18" s="34">
        <f t="shared" si="4"/>
        <v>0</v>
      </c>
      <c r="K18" s="37">
        <v>0.46</v>
      </c>
      <c r="L18" s="38">
        <f t="shared" si="5"/>
        <v>0</v>
      </c>
      <c r="M18" s="39">
        <f t="shared" si="6"/>
        <v>0</v>
      </c>
      <c r="N18" s="40">
        <f t="shared" si="7"/>
        <v>0</v>
      </c>
    </row>
    <row r="19" ht="18.75" customHeight="1">
      <c r="A19" s="23">
        <v>13.0</v>
      </c>
      <c r="B19" s="25"/>
      <c r="C19" s="26"/>
      <c r="D19" s="29"/>
      <c r="E19" s="31">
        <v>0.0</v>
      </c>
      <c r="F19" s="55">
        <v>0.0</v>
      </c>
      <c r="G19" s="34">
        <f t="shared" si="1"/>
        <v>0</v>
      </c>
      <c r="H19" s="35">
        <f t="shared" si="2"/>
        <v>0</v>
      </c>
      <c r="I19" s="36">
        <f t="shared" si="3"/>
        <v>0</v>
      </c>
      <c r="J19" s="34">
        <f t="shared" si="4"/>
        <v>0</v>
      </c>
      <c r="K19" s="37">
        <v>0.46</v>
      </c>
      <c r="L19" s="38">
        <f t="shared" si="5"/>
        <v>0</v>
      </c>
      <c r="M19" s="39">
        <f t="shared" si="6"/>
        <v>0</v>
      </c>
      <c r="N19" s="40">
        <f t="shared" si="7"/>
        <v>0</v>
      </c>
    </row>
    <row r="20" ht="18.75" customHeight="1">
      <c r="A20" s="23">
        <v>14.0</v>
      </c>
      <c r="B20" s="25"/>
      <c r="C20" s="26"/>
      <c r="D20" s="29"/>
      <c r="E20" s="31">
        <v>0.0</v>
      </c>
      <c r="F20" s="55">
        <v>0.0</v>
      </c>
      <c r="G20" s="34">
        <f t="shared" si="1"/>
        <v>0</v>
      </c>
      <c r="H20" s="35">
        <f t="shared" si="2"/>
        <v>0</v>
      </c>
      <c r="I20" s="36">
        <f t="shared" si="3"/>
        <v>0</v>
      </c>
      <c r="J20" s="34">
        <f t="shared" si="4"/>
        <v>0</v>
      </c>
      <c r="K20" s="37">
        <v>0.46</v>
      </c>
      <c r="L20" s="38">
        <f t="shared" si="5"/>
        <v>0</v>
      </c>
      <c r="M20" s="39">
        <f t="shared" si="6"/>
        <v>0</v>
      </c>
      <c r="N20" s="40">
        <f t="shared" si="7"/>
        <v>0</v>
      </c>
    </row>
    <row r="21" ht="18.75" customHeight="1">
      <c r="A21" s="23">
        <v>15.0</v>
      </c>
      <c r="B21" s="25"/>
      <c r="C21" s="26"/>
      <c r="D21" s="29"/>
      <c r="E21" s="31">
        <v>0.0</v>
      </c>
      <c r="F21" s="55">
        <v>0.0</v>
      </c>
      <c r="G21" s="34">
        <f t="shared" si="1"/>
        <v>0</v>
      </c>
      <c r="H21" s="35">
        <f t="shared" si="2"/>
        <v>0</v>
      </c>
      <c r="I21" s="36">
        <f t="shared" si="3"/>
        <v>0</v>
      </c>
      <c r="J21" s="34">
        <f t="shared" si="4"/>
        <v>0</v>
      </c>
      <c r="K21" s="37">
        <v>0.46</v>
      </c>
      <c r="L21" s="38">
        <f t="shared" si="5"/>
        <v>0</v>
      </c>
      <c r="M21" s="39">
        <f t="shared" si="6"/>
        <v>0</v>
      </c>
      <c r="N21" s="40">
        <f t="shared" si="7"/>
        <v>0</v>
      </c>
    </row>
    <row r="22" ht="18.75" customHeight="1">
      <c r="A22" s="23">
        <v>16.0</v>
      </c>
      <c r="B22" s="25"/>
      <c r="C22" s="26"/>
      <c r="D22" s="29"/>
      <c r="E22" s="31">
        <v>0.0</v>
      </c>
      <c r="F22" s="55">
        <v>0.0</v>
      </c>
      <c r="G22" s="34">
        <f t="shared" si="1"/>
        <v>0</v>
      </c>
      <c r="H22" s="35">
        <f t="shared" si="2"/>
        <v>0</v>
      </c>
      <c r="I22" s="36">
        <f t="shared" si="3"/>
        <v>0</v>
      </c>
      <c r="J22" s="34">
        <f t="shared" si="4"/>
        <v>0</v>
      </c>
      <c r="K22" s="37">
        <v>0.46</v>
      </c>
      <c r="L22" s="38">
        <f t="shared" si="5"/>
        <v>0</v>
      </c>
      <c r="M22" s="39">
        <f t="shared" si="6"/>
        <v>0</v>
      </c>
      <c r="N22" s="40">
        <f t="shared" si="7"/>
        <v>0</v>
      </c>
    </row>
    <row r="23" ht="18.75" customHeight="1">
      <c r="A23" s="23">
        <v>17.0</v>
      </c>
      <c r="B23" s="25"/>
      <c r="C23" s="26"/>
      <c r="D23" s="29"/>
      <c r="E23" s="31">
        <v>0.0</v>
      </c>
      <c r="F23" s="55">
        <v>0.0</v>
      </c>
      <c r="G23" s="34">
        <f t="shared" si="1"/>
        <v>0</v>
      </c>
      <c r="H23" s="35">
        <f t="shared" si="2"/>
        <v>0</v>
      </c>
      <c r="I23" s="36">
        <f t="shared" si="3"/>
        <v>0</v>
      </c>
      <c r="J23" s="34">
        <f t="shared" si="4"/>
        <v>0</v>
      </c>
      <c r="K23" s="37">
        <v>0.46</v>
      </c>
      <c r="L23" s="38">
        <f t="shared" si="5"/>
        <v>0</v>
      </c>
      <c r="M23" s="39">
        <f t="shared" si="6"/>
        <v>0</v>
      </c>
      <c r="N23" s="40">
        <f t="shared" si="7"/>
        <v>0</v>
      </c>
    </row>
    <row r="24" ht="18.75" customHeight="1">
      <c r="A24" s="23">
        <v>18.0</v>
      </c>
      <c r="B24" s="25"/>
      <c r="C24" s="26"/>
      <c r="D24" s="29"/>
      <c r="E24" s="31">
        <v>0.0</v>
      </c>
      <c r="F24" s="55">
        <v>0.0</v>
      </c>
      <c r="G24" s="34">
        <f t="shared" si="1"/>
        <v>0</v>
      </c>
      <c r="H24" s="35">
        <f t="shared" si="2"/>
        <v>0</v>
      </c>
      <c r="I24" s="36">
        <f t="shared" si="3"/>
        <v>0</v>
      </c>
      <c r="J24" s="34">
        <f t="shared" si="4"/>
        <v>0</v>
      </c>
      <c r="K24" s="37">
        <v>0.46</v>
      </c>
      <c r="L24" s="38">
        <f t="shared" si="5"/>
        <v>0</v>
      </c>
      <c r="M24" s="39">
        <f t="shared" si="6"/>
        <v>0</v>
      </c>
      <c r="N24" s="40">
        <f t="shared" si="7"/>
        <v>0</v>
      </c>
    </row>
    <row r="25" ht="18.75" customHeight="1">
      <c r="A25" s="23">
        <v>19.0</v>
      </c>
      <c r="B25" s="25"/>
      <c r="C25" s="26"/>
      <c r="D25" s="29"/>
      <c r="E25" s="31">
        <v>0.0</v>
      </c>
      <c r="F25" s="55">
        <v>0.0</v>
      </c>
      <c r="G25" s="34">
        <f t="shared" si="1"/>
        <v>0</v>
      </c>
      <c r="H25" s="35">
        <f t="shared" si="2"/>
        <v>0</v>
      </c>
      <c r="I25" s="36">
        <f t="shared" si="3"/>
        <v>0</v>
      </c>
      <c r="J25" s="34">
        <f t="shared" si="4"/>
        <v>0</v>
      </c>
      <c r="K25" s="37">
        <v>0.46</v>
      </c>
      <c r="L25" s="38">
        <f t="shared" si="5"/>
        <v>0</v>
      </c>
      <c r="M25" s="39">
        <f t="shared" si="6"/>
        <v>0</v>
      </c>
      <c r="N25" s="40">
        <f t="shared" si="7"/>
        <v>0</v>
      </c>
    </row>
    <row r="26" ht="18.75" customHeight="1">
      <c r="A26" s="23">
        <v>20.0</v>
      </c>
      <c r="B26" s="25"/>
      <c r="C26" s="26"/>
      <c r="D26" s="29"/>
      <c r="E26" s="31">
        <v>0.0</v>
      </c>
      <c r="F26" s="55">
        <v>0.0</v>
      </c>
      <c r="G26" s="34">
        <f t="shared" si="1"/>
        <v>0</v>
      </c>
      <c r="H26" s="35">
        <f t="shared" si="2"/>
        <v>0</v>
      </c>
      <c r="I26" s="36">
        <f t="shared" si="3"/>
        <v>0</v>
      </c>
      <c r="J26" s="34">
        <f t="shared" si="4"/>
        <v>0</v>
      </c>
      <c r="K26" s="37">
        <v>0.46</v>
      </c>
      <c r="L26" s="38">
        <f t="shared" si="5"/>
        <v>0</v>
      </c>
      <c r="M26" s="39">
        <f t="shared" si="6"/>
        <v>0</v>
      </c>
      <c r="N26" s="40">
        <f t="shared" si="7"/>
        <v>0</v>
      </c>
    </row>
    <row r="27" ht="18.75" customHeight="1">
      <c r="A27" s="23">
        <v>21.0</v>
      </c>
      <c r="B27" s="25"/>
      <c r="C27" s="26"/>
      <c r="D27" s="29"/>
      <c r="E27" s="31">
        <v>0.0</v>
      </c>
      <c r="F27" s="55">
        <v>0.0</v>
      </c>
      <c r="G27" s="34">
        <f t="shared" si="1"/>
        <v>0</v>
      </c>
      <c r="H27" s="35">
        <f t="shared" si="2"/>
        <v>0</v>
      </c>
      <c r="I27" s="36">
        <f t="shared" si="3"/>
        <v>0</v>
      </c>
      <c r="J27" s="34">
        <f t="shared" si="4"/>
        <v>0</v>
      </c>
      <c r="K27" s="37">
        <v>0.46</v>
      </c>
      <c r="L27" s="38">
        <f t="shared" si="5"/>
        <v>0</v>
      </c>
      <c r="M27" s="39">
        <f t="shared" si="6"/>
        <v>0</v>
      </c>
      <c r="N27" s="40">
        <f t="shared" si="7"/>
        <v>0</v>
      </c>
    </row>
    <row r="28" ht="18.75" customHeight="1">
      <c r="A28" s="23">
        <v>22.0</v>
      </c>
      <c r="B28" s="25"/>
      <c r="C28" s="26"/>
      <c r="D28" s="29"/>
      <c r="E28" s="31">
        <v>0.0</v>
      </c>
      <c r="F28" s="55">
        <v>0.0</v>
      </c>
      <c r="G28" s="34">
        <f t="shared" si="1"/>
        <v>0</v>
      </c>
      <c r="H28" s="35">
        <f t="shared" si="2"/>
        <v>0</v>
      </c>
      <c r="I28" s="36">
        <f t="shared" si="3"/>
        <v>0</v>
      </c>
      <c r="J28" s="34">
        <f t="shared" si="4"/>
        <v>0</v>
      </c>
      <c r="K28" s="37">
        <v>0.46</v>
      </c>
      <c r="L28" s="38">
        <f t="shared" si="5"/>
        <v>0</v>
      </c>
      <c r="M28" s="39">
        <f t="shared" si="6"/>
        <v>0</v>
      </c>
      <c r="N28" s="40">
        <f t="shared" si="7"/>
        <v>0</v>
      </c>
    </row>
    <row r="29" ht="18.75" customHeight="1">
      <c r="A29" s="23">
        <v>23.0</v>
      </c>
      <c r="B29" s="25"/>
      <c r="C29" s="26"/>
      <c r="D29" s="29"/>
      <c r="E29" s="31">
        <v>0.0</v>
      </c>
      <c r="F29" s="55">
        <v>0.0</v>
      </c>
      <c r="G29" s="34">
        <f t="shared" si="1"/>
        <v>0</v>
      </c>
      <c r="H29" s="35">
        <f t="shared" si="2"/>
        <v>0</v>
      </c>
      <c r="I29" s="36">
        <f t="shared" si="3"/>
        <v>0</v>
      </c>
      <c r="J29" s="34">
        <f t="shared" si="4"/>
        <v>0</v>
      </c>
      <c r="K29" s="37">
        <v>0.46</v>
      </c>
      <c r="L29" s="38">
        <f t="shared" si="5"/>
        <v>0</v>
      </c>
      <c r="M29" s="39">
        <f t="shared" si="6"/>
        <v>0</v>
      </c>
      <c r="N29" s="40">
        <f t="shared" si="7"/>
        <v>0</v>
      </c>
    </row>
    <row r="30" ht="18.75" customHeight="1">
      <c r="A30" s="23">
        <v>24.0</v>
      </c>
      <c r="B30" s="25"/>
      <c r="C30" s="26"/>
      <c r="D30" s="29"/>
      <c r="E30" s="31">
        <v>0.0</v>
      </c>
      <c r="F30" s="55">
        <v>0.0</v>
      </c>
      <c r="G30" s="34">
        <f t="shared" si="1"/>
        <v>0</v>
      </c>
      <c r="H30" s="35">
        <f t="shared" si="2"/>
        <v>0</v>
      </c>
      <c r="I30" s="36">
        <f t="shared" si="3"/>
        <v>0</v>
      </c>
      <c r="J30" s="34">
        <f t="shared" si="4"/>
        <v>0</v>
      </c>
      <c r="K30" s="37">
        <v>0.46</v>
      </c>
      <c r="L30" s="38">
        <f t="shared" si="5"/>
        <v>0</v>
      </c>
      <c r="M30" s="39">
        <f t="shared" si="6"/>
        <v>0</v>
      </c>
      <c r="N30" s="40">
        <f t="shared" si="7"/>
        <v>0</v>
      </c>
    </row>
    <row r="31" ht="18.75" customHeight="1">
      <c r="A31" s="23">
        <v>25.0</v>
      </c>
      <c r="B31" s="25"/>
      <c r="C31" s="26"/>
      <c r="D31" s="29"/>
      <c r="E31" s="31">
        <v>0.0</v>
      </c>
      <c r="F31" s="55">
        <v>0.0</v>
      </c>
      <c r="G31" s="34">
        <f t="shared" si="1"/>
        <v>0</v>
      </c>
      <c r="H31" s="35">
        <f t="shared" si="2"/>
        <v>0</v>
      </c>
      <c r="I31" s="36">
        <f t="shared" si="3"/>
        <v>0</v>
      </c>
      <c r="J31" s="34">
        <f t="shared" si="4"/>
        <v>0</v>
      </c>
      <c r="K31" s="37">
        <v>0.46</v>
      </c>
      <c r="L31" s="38">
        <f t="shared" si="5"/>
        <v>0</v>
      </c>
      <c r="M31" s="39">
        <f t="shared" si="6"/>
        <v>0</v>
      </c>
      <c r="N31" s="40">
        <f t="shared" si="7"/>
        <v>0</v>
      </c>
    </row>
    <row r="32" ht="18.75" customHeight="1">
      <c r="A32" s="23">
        <v>26.0</v>
      </c>
      <c r="B32" s="25"/>
      <c r="C32" s="26"/>
      <c r="D32" s="29"/>
      <c r="E32" s="31">
        <v>0.0</v>
      </c>
      <c r="F32" s="55">
        <v>0.0</v>
      </c>
      <c r="G32" s="34">
        <f t="shared" si="1"/>
        <v>0</v>
      </c>
      <c r="H32" s="35">
        <f t="shared" si="2"/>
        <v>0</v>
      </c>
      <c r="I32" s="36">
        <f t="shared" si="3"/>
        <v>0</v>
      </c>
      <c r="J32" s="34">
        <f t="shared" si="4"/>
        <v>0</v>
      </c>
      <c r="K32" s="37">
        <v>0.46</v>
      </c>
      <c r="L32" s="38">
        <f t="shared" si="5"/>
        <v>0</v>
      </c>
      <c r="M32" s="39">
        <f t="shared" si="6"/>
        <v>0</v>
      </c>
      <c r="N32" s="40">
        <f t="shared" si="7"/>
        <v>0</v>
      </c>
    </row>
    <row r="33" ht="18.75" customHeight="1">
      <c r="A33" s="23">
        <v>27.0</v>
      </c>
      <c r="B33" s="25"/>
      <c r="C33" s="26"/>
      <c r="D33" s="29"/>
      <c r="E33" s="31">
        <v>0.0</v>
      </c>
      <c r="F33" s="55">
        <v>0.0</v>
      </c>
      <c r="G33" s="34">
        <f t="shared" si="1"/>
        <v>0</v>
      </c>
      <c r="H33" s="35">
        <f t="shared" si="2"/>
        <v>0</v>
      </c>
      <c r="I33" s="36">
        <f t="shared" si="3"/>
        <v>0</v>
      </c>
      <c r="J33" s="34">
        <f t="shared" si="4"/>
        <v>0</v>
      </c>
      <c r="K33" s="37">
        <v>0.46</v>
      </c>
      <c r="L33" s="38">
        <f t="shared" si="5"/>
        <v>0</v>
      </c>
      <c r="M33" s="39">
        <f t="shared" si="6"/>
        <v>0</v>
      </c>
      <c r="N33" s="40">
        <f t="shared" si="7"/>
        <v>0</v>
      </c>
    </row>
    <row r="34" ht="18.75" customHeight="1">
      <c r="A34" s="23">
        <v>28.0</v>
      </c>
      <c r="B34" s="25"/>
      <c r="C34" s="26"/>
      <c r="D34" s="29"/>
      <c r="E34" s="31">
        <v>0.0</v>
      </c>
      <c r="F34" s="55">
        <v>0.0</v>
      </c>
      <c r="G34" s="34">
        <f t="shared" si="1"/>
        <v>0</v>
      </c>
      <c r="H34" s="35">
        <f t="shared" si="2"/>
        <v>0</v>
      </c>
      <c r="I34" s="36">
        <f t="shared" si="3"/>
        <v>0</v>
      </c>
      <c r="J34" s="34">
        <f t="shared" si="4"/>
        <v>0</v>
      </c>
      <c r="K34" s="37">
        <v>0.46</v>
      </c>
      <c r="L34" s="38">
        <f t="shared" si="5"/>
        <v>0</v>
      </c>
      <c r="M34" s="39">
        <f t="shared" si="6"/>
        <v>0</v>
      </c>
      <c r="N34" s="40">
        <f t="shared" si="7"/>
        <v>0</v>
      </c>
    </row>
    <row r="35" ht="18.75" customHeight="1">
      <c r="A35" s="23">
        <v>29.0</v>
      </c>
      <c r="B35" s="25"/>
      <c r="C35" s="26"/>
      <c r="D35" s="29"/>
      <c r="E35" s="31">
        <v>0.0</v>
      </c>
      <c r="F35" s="55">
        <v>0.0</v>
      </c>
      <c r="G35" s="34">
        <f t="shared" si="1"/>
        <v>0</v>
      </c>
      <c r="H35" s="35">
        <f t="shared" si="2"/>
        <v>0</v>
      </c>
      <c r="I35" s="36">
        <f t="shared" si="3"/>
        <v>0</v>
      </c>
      <c r="J35" s="34">
        <f t="shared" si="4"/>
        <v>0</v>
      </c>
      <c r="K35" s="37">
        <v>0.46</v>
      </c>
      <c r="L35" s="38">
        <f t="shared" si="5"/>
        <v>0</v>
      </c>
      <c r="M35" s="39">
        <f t="shared" si="6"/>
        <v>0</v>
      </c>
      <c r="N35" s="40">
        <f t="shared" si="7"/>
        <v>0</v>
      </c>
    </row>
    <row r="36" ht="18.75" customHeight="1">
      <c r="A36" s="75">
        <v>30.0</v>
      </c>
      <c r="B36" s="77" t="s">
        <v>71</v>
      </c>
      <c r="C36" s="77" t="s">
        <v>72</v>
      </c>
      <c r="D36" s="79" t="s">
        <v>73</v>
      </c>
      <c r="E36" s="80">
        <v>0.0</v>
      </c>
      <c r="F36" s="81">
        <v>0.0</v>
      </c>
      <c r="G36" s="82">
        <f t="shared" si="1"/>
        <v>0</v>
      </c>
      <c r="H36" s="83">
        <f t="shared" si="2"/>
        <v>0</v>
      </c>
      <c r="I36" s="85">
        <f t="shared" si="3"/>
        <v>0</v>
      </c>
      <c r="J36" s="82">
        <f t="shared" si="4"/>
        <v>0</v>
      </c>
      <c r="K36" s="86">
        <v>0.46</v>
      </c>
      <c r="L36" s="87">
        <f t="shared" si="5"/>
        <v>0</v>
      </c>
      <c r="M36" s="87">
        <f t="shared" si="6"/>
        <v>0</v>
      </c>
      <c r="N36" s="88">
        <f t="shared" si="7"/>
        <v>0</v>
      </c>
    </row>
    <row r="37" ht="24.0" customHeight="1">
      <c r="A37" s="41"/>
      <c r="B37" s="42" t="s">
        <v>37</v>
      </c>
      <c r="C37" s="43"/>
      <c r="D37" s="43"/>
      <c r="E37" s="44"/>
      <c r="F37" s="45">
        <f t="shared" ref="F37:J37" si="8">SUM(F7:F36)</f>
        <v>10002</v>
      </c>
      <c r="G37" s="46">
        <f t="shared" si="8"/>
        <v>15810000</v>
      </c>
      <c r="H37" s="46">
        <f t="shared" si="8"/>
        <v>0</v>
      </c>
      <c r="I37" s="46">
        <f t="shared" si="8"/>
        <v>15810000</v>
      </c>
      <c r="J37" s="46">
        <f t="shared" si="8"/>
        <v>19130100</v>
      </c>
      <c r="K37" s="47">
        <f>F4</f>
        <v>0.45</v>
      </c>
      <c r="L37" s="46">
        <f t="shared" ref="L37:N37" si="9">SUM(L7:L36)</f>
        <v>22924500</v>
      </c>
      <c r="M37" s="46">
        <f t="shared" si="9"/>
        <v>27738645</v>
      </c>
      <c r="N37" s="46">
        <f t="shared" si="9"/>
        <v>7114500</v>
      </c>
    </row>
    <row r="38" ht="15.75" customHeight="1"/>
    <row r="39" ht="15.75" customHeight="1"/>
    <row r="40" ht="15.75" customHeight="1"/>
    <row r="41" ht="15.75" customHeight="1"/>
    <row r="42">
      <c r="G42" s="48" t="s">
        <v>40</v>
      </c>
      <c r="H42" s="49"/>
      <c r="I42" s="49"/>
      <c r="J42" s="49"/>
      <c r="K42" s="49"/>
      <c r="L42" s="49"/>
      <c r="M42" s="49"/>
      <c r="N42" s="50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G43" s="52" t="s">
        <v>42</v>
      </c>
      <c r="H43" s="49"/>
      <c r="I43" s="49"/>
      <c r="J43" s="49"/>
      <c r="K43" s="49"/>
      <c r="L43" s="49"/>
      <c r="M43" s="49"/>
      <c r="N43" s="50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G44" s="53" t="s">
        <v>43</v>
      </c>
      <c r="H44" s="53" t="s">
        <v>44</v>
      </c>
      <c r="I44" s="54" t="s">
        <v>45</v>
      </c>
      <c r="J44" s="54" t="s">
        <v>46</v>
      </c>
      <c r="K44" s="54" t="s">
        <v>47</v>
      </c>
      <c r="L44" s="54" t="s">
        <v>48</v>
      </c>
      <c r="M44" s="54" t="s">
        <v>50</v>
      </c>
      <c r="N44" s="54" t="s">
        <v>51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G45" s="56">
        <v>0.0</v>
      </c>
      <c r="H45" s="56">
        <v>0.0</v>
      </c>
      <c r="I45" s="95">
        <f t="shared" ref="I45:I47" si="10">IF(G45*H45=0,0,G45*H45*8)</f>
        <v>0</v>
      </c>
      <c r="J45" s="58">
        <v>15.125</v>
      </c>
      <c r="K45" s="59">
        <f t="shared" ref="K45:K47" si="11">IF(I45*J45=0,0,I45*J45)</f>
        <v>0</v>
      </c>
      <c r="L45" s="59">
        <f t="shared" ref="L45:L47" si="12">IF(K45=0,0,K45*(1+$D$4))</f>
        <v>0</v>
      </c>
      <c r="M45" s="60">
        <f t="shared" ref="M45:M47" si="13">IF(K45=0,0,K45*$B$4)</f>
        <v>0</v>
      </c>
      <c r="N45" s="61">
        <f t="shared" ref="N45:N47" si="14">IF(M45=0,0,M45*(1+$D$4))</f>
        <v>0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G46" s="62">
        <v>0.0</v>
      </c>
      <c r="H46" s="62">
        <v>0.0</v>
      </c>
      <c r="I46" s="95">
        <f t="shared" si="10"/>
        <v>0</v>
      </c>
      <c r="J46" s="58">
        <v>15.125</v>
      </c>
      <c r="K46" s="59">
        <f t="shared" si="11"/>
        <v>0</v>
      </c>
      <c r="L46" s="59">
        <f t="shared" si="12"/>
        <v>0</v>
      </c>
      <c r="M46" s="60">
        <f t="shared" si="13"/>
        <v>0</v>
      </c>
      <c r="N46" s="61">
        <f t="shared" si="14"/>
        <v>0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G47" s="62">
        <v>0.0</v>
      </c>
      <c r="H47" s="62">
        <v>0.0</v>
      </c>
      <c r="I47" s="95">
        <f t="shared" si="10"/>
        <v>0</v>
      </c>
      <c r="J47" s="58">
        <v>15.125</v>
      </c>
      <c r="K47" s="59">
        <f t="shared" si="11"/>
        <v>0</v>
      </c>
      <c r="L47" s="59">
        <f t="shared" si="12"/>
        <v>0</v>
      </c>
      <c r="M47" s="60">
        <f t="shared" si="13"/>
        <v>0</v>
      </c>
      <c r="N47" s="61">
        <f t="shared" si="14"/>
        <v>0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G48" s="63" t="s">
        <v>56</v>
      </c>
      <c r="H48" s="49"/>
      <c r="I48" s="49"/>
      <c r="J48" s="50"/>
      <c r="K48" s="64">
        <f t="shared" ref="K48:N48" si="15">SUM(K45:K47)</f>
        <v>0</v>
      </c>
      <c r="L48" s="65">
        <f t="shared" si="15"/>
        <v>0</v>
      </c>
      <c r="M48" s="65">
        <f t="shared" si="15"/>
        <v>0</v>
      </c>
      <c r="N48" s="65">
        <f t="shared" si="15"/>
        <v>0</v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66" t="s">
        <v>59</v>
      </c>
      <c r="H50" s="49"/>
      <c r="I50" s="49"/>
      <c r="J50" s="49"/>
      <c r="K50" s="49"/>
      <c r="L50" s="49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67" t="s">
        <v>60</v>
      </c>
      <c r="H51" s="68" t="s">
        <v>61</v>
      </c>
      <c r="I51" s="68" t="s">
        <v>62</v>
      </c>
      <c r="J51" s="67" t="s">
        <v>63</v>
      </c>
      <c r="K51" s="68" t="s">
        <v>47</v>
      </c>
      <c r="L51" s="68" t="s">
        <v>48</v>
      </c>
      <c r="M51" s="68" t="s">
        <v>50</v>
      </c>
      <c r="N51" s="68" t="s">
        <v>51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6">
        <v>0.0</v>
      </c>
      <c r="H52" s="56">
        <f t="shared" ref="H52:H54" si="16">G52</f>
        <v>0</v>
      </c>
      <c r="I52" s="96">
        <f t="shared" ref="I52:I54" si="17">IF(G52*2=0,0,G52*2)</f>
        <v>0</v>
      </c>
      <c r="J52" s="58">
        <v>1.331</v>
      </c>
      <c r="K52" s="70">
        <f t="shared" ref="K52:K54" si="18">IF(I52*J52=0,0,I52*J52)</f>
        <v>0</v>
      </c>
      <c r="L52" s="71">
        <f t="shared" ref="L52:L54" si="19">IF(K52=0,0,K52*$B$4*(1+$D$4))</f>
        <v>0</v>
      </c>
      <c r="M52" s="72">
        <f t="shared" ref="M52:M54" si="20">IF(K52=0,0,K52*$B$4)</f>
        <v>0</v>
      </c>
      <c r="N52" s="73">
        <f t="shared" ref="N52:N54" si="21">IF(M52=0,0,M52*(1+$D$4))</f>
        <v>0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62">
        <v>0.0</v>
      </c>
      <c r="H53" s="56">
        <f t="shared" si="16"/>
        <v>0</v>
      </c>
      <c r="I53" s="96">
        <f t="shared" si="17"/>
        <v>0</v>
      </c>
      <c r="J53" s="58">
        <v>1.331</v>
      </c>
      <c r="K53" s="70">
        <f t="shared" si="18"/>
        <v>0</v>
      </c>
      <c r="L53" s="71">
        <f t="shared" si="19"/>
        <v>0</v>
      </c>
      <c r="M53" s="72">
        <f t="shared" si="20"/>
        <v>0</v>
      </c>
      <c r="N53" s="73">
        <f t="shared" si="21"/>
        <v>0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G54" s="62">
        <v>0.0</v>
      </c>
      <c r="H54" s="56">
        <f t="shared" si="16"/>
        <v>0</v>
      </c>
      <c r="I54" s="96">
        <f t="shared" si="17"/>
        <v>0</v>
      </c>
      <c r="J54" s="58">
        <v>1.331</v>
      </c>
      <c r="K54" s="70">
        <f t="shared" si="18"/>
        <v>0</v>
      </c>
      <c r="L54" s="71">
        <f t="shared" si="19"/>
        <v>0</v>
      </c>
      <c r="M54" s="72">
        <f t="shared" si="20"/>
        <v>0</v>
      </c>
      <c r="N54" s="73">
        <f t="shared" si="21"/>
        <v>0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G55" s="74" t="s">
        <v>69</v>
      </c>
      <c r="H55" s="49"/>
      <c r="I55" s="49"/>
      <c r="J55" s="50"/>
      <c r="K55" s="76">
        <f t="shared" ref="K55:N55" si="22">SUM(K52:K54)</f>
        <v>0</v>
      </c>
      <c r="L55" s="78">
        <f t="shared" si="22"/>
        <v>0</v>
      </c>
      <c r="M55" s="78">
        <f t="shared" si="22"/>
        <v>0</v>
      </c>
      <c r="N55" s="78">
        <f t="shared" si="22"/>
        <v>0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/>
    <row r="58" ht="15.75" customHeight="1"/>
    <row r="59" ht="15.75" customHeight="1">
      <c r="A59" s="48" t="s">
        <v>76</v>
      </c>
      <c r="B59" s="49"/>
      <c r="C59" s="49"/>
      <c r="D59" s="49"/>
      <c r="E59" s="49"/>
      <c r="F59" s="49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5.75" customHeight="1">
      <c r="A60" s="52" t="s">
        <v>77</v>
      </c>
      <c r="B60" s="49"/>
      <c r="C60" s="49"/>
      <c r="D60" s="49"/>
      <c r="E60" s="49"/>
      <c r="F60" s="50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26.25" customHeight="1">
      <c r="A61" s="54" t="s">
        <v>16</v>
      </c>
      <c r="B61" s="54" t="s">
        <v>97</v>
      </c>
      <c r="C61" s="54" t="s">
        <v>24</v>
      </c>
      <c r="D61" s="54" t="s">
        <v>98</v>
      </c>
      <c r="E61" s="54" t="s">
        <v>27</v>
      </c>
      <c r="F61" s="54" t="s">
        <v>28</v>
      </c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5.75" customHeight="1">
      <c r="A62" s="90">
        <v>1.0</v>
      </c>
      <c r="B62" s="90" t="s">
        <v>81</v>
      </c>
      <c r="C62" s="97">
        <f t="shared" ref="C62:D62" si="23">I37</f>
        <v>15810000</v>
      </c>
      <c r="D62" s="97">
        <f t="shared" si="23"/>
        <v>19130100</v>
      </c>
      <c r="E62" s="91">
        <f t="shared" ref="E62:F62" si="24">L37</f>
        <v>22924500</v>
      </c>
      <c r="F62" s="91">
        <f t="shared" si="24"/>
        <v>27738645</v>
      </c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5.75" customHeight="1">
      <c r="A63" s="90">
        <v>2.0</v>
      </c>
      <c r="B63" s="90" t="s">
        <v>42</v>
      </c>
      <c r="C63" s="98">
        <f t="shared" ref="C63:F63" si="25">K48</f>
        <v>0</v>
      </c>
      <c r="D63" s="98">
        <f t="shared" si="25"/>
        <v>0</v>
      </c>
      <c r="E63" s="91">
        <f t="shared" si="25"/>
        <v>0</v>
      </c>
      <c r="F63" s="91">
        <f t="shared" si="25"/>
        <v>0</v>
      </c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5.75" customHeight="1">
      <c r="A64" s="90">
        <v>3.0</v>
      </c>
      <c r="B64" s="90" t="s">
        <v>59</v>
      </c>
      <c r="C64" s="98">
        <f t="shared" ref="C64:F64" si="26">K55</f>
        <v>0</v>
      </c>
      <c r="D64" s="98">
        <f t="shared" si="26"/>
        <v>0</v>
      </c>
      <c r="E64" s="91">
        <f t="shared" si="26"/>
        <v>0</v>
      </c>
      <c r="F64" s="91">
        <f t="shared" si="26"/>
        <v>0</v>
      </c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5.75" customHeight="1">
      <c r="A65" s="94" t="s">
        <v>84</v>
      </c>
      <c r="B65" s="50"/>
      <c r="C65" s="65"/>
      <c r="D65" s="65"/>
      <c r="E65" s="65">
        <f t="shared" ref="E65:F65" si="27">SUM(E62:E64)</f>
        <v>22924500</v>
      </c>
      <c r="F65" s="65">
        <f t="shared" si="27"/>
        <v>27738645</v>
      </c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G48:J48"/>
    <mergeCell ref="G55:J55"/>
    <mergeCell ref="A59:F59"/>
    <mergeCell ref="A60:F60"/>
    <mergeCell ref="A65:B65"/>
    <mergeCell ref="A1:N1"/>
    <mergeCell ref="A2:N2"/>
    <mergeCell ref="A3:N3"/>
    <mergeCell ref="I4:N5"/>
    <mergeCell ref="G42:N42"/>
    <mergeCell ref="G43:N43"/>
    <mergeCell ref="G50:N50"/>
  </mergeCells>
  <conditionalFormatting sqref="K7:K36">
    <cfRule type="cellIs" dxfId="0" priority="1" operator="lessThan">
      <formula>$H$4</formula>
    </cfRule>
  </conditionalFormatting>
  <conditionalFormatting sqref="K7:K36">
    <cfRule type="cellIs" dxfId="1" priority="2" operator="greaterThanOrEqual">
      <formula>$F$4</formula>
    </cfRule>
  </conditionalFormatting>
  <conditionalFormatting sqref="K7:K36">
    <cfRule type="cellIs" dxfId="2" priority="3" operator="between">
      <formula>$H$4</formula>
      <formula>$F$4</formula>
    </cfRule>
  </conditionalFormatting>
  <dataValidations>
    <dataValidation type="list" allowBlank="1" sqref="D7:D36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92.86"/>
    <col customWidth="1" min="3" max="3" width="22.43"/>
    <col customWidth="1" min="4" max="4" width="20.43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8.29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0.46</v>
      </c>
      <c r="G4" s="8" t="s">
        <v>6</v>
      </c>
      <c r="H4" s="9">
        <v>0.3</v>
      </c>
      <c r="I4" s="6" t="s">
        <v>7</v>
      </c>
      <c r="J4" s="11">
        <v>0.05</v>
      </c>
      <c r="K4" s="13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0.1</v>
      </c>
      <c r="E5" s="6" t="s">
        <v>12</v>
      </c>
      <c r="F5" s="16">
        <v>12.0</v>
      </c>
      <c r="G5" s="8" t="s">
        <v>14</v>
      </c>
      <c r="H5" s="16">
        <v>0.0</v>
      </c>
      <c r="I5" s="6" t="s">
        <v>15</v>
      </c>
      <c r="J5" s="16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2" t="s">
        <v>24</v>
      </c>
      <c r="J6" s="22" t="s">
        <v>26</v>
      </c>
      <c r="K6" s="24" t="s">
        <v>30</v>
      </c>
      <c r="L6" s="22" t="s">
        <v>27</v>
      </c>
      <c r="M6" s="22" t="s">
        <v>28</v>
      </c>
      <c r="N6" s="22" t="s">
        <v>29</v>
      </c>
    </row>
    <row r="7" ht="18.75" customHeight="1">
      <c r="A7" s="28" t="s">
        <v>33</v>
      </c>
      <c r="B7" s="30"/>
      <c r="C7" s="26"/>
      <c r="D7" s="29"/>
      <c r="E7" s="33">
        <v>0.0</v>
      </c>
      <c r="F7" s="32">
        <v>0.0</v>
      </c>
      <c r="G7" s="34">
        <f t="shared" ref="G7:G34" si="1">IF(F7=0,0,F7*$B$4*E7)</f>
        <v>0</v>
      </c>
      <c r="H7" s="35">
        <f t="shared" ref="H7:H34" si="2">IF(F7=0,0,G7*$D$5)</f>
        <v>0</v>
      </c>
      <c r="I7" s="36">
        <f t="shared" ref="I7:I34" si="3">IF(F7=0,0,G7+H7)</f>
        <v>0</v>
      </c>
      <c r="J7" s="37">
        <f t="shared" ref="J7:J34" si="4">$F$4</f>
        <v>0.46</v>
      </c>
      <c r="K7" s="35">
        <f t="shared" ref="K7:K34" si="5">IF(F7=0,0,I7*$J$4)</f>
        <v>0</v>
      </c>
      <c r="L7" s="38">
        <f t="shared" ref="L7:L34" si="6">IF(F7=0,0,I7*(1+$J$7)+K7)</f>
        <v>0</v>
      </c>
      <c r="M7" s="39">
        <f t="shared" ref="M7:M34" si="7">IF(F7=0,0,L7*(1+$D$4))</f>
        <v>0</v>
      </c>
      <c r="N7" s="40">
        <f t="shared" ref="N7:N34" si="8">IF(F7=0,0,L7-I7)</f>
        <v>0</v>
      </c>
    </row>
    <row r="8" ht="18.75" customHeight="1">
      <c r="A8" s="27">
        <v>2.0</v>
      </c>
      <c r="B8" s="25" t="s">
        <v>36</v>
      </c>
      <c r="C8" s="26"/>
      <c r="D8" s="29"/>
      <c r="E8" s="33">
        <v>0.0</v>
      </c>
      <c r="F8" s="32">
        <v>0.0</v>
      </c>
      <c r="G8" s="34">
        <f t="shared" si="1"/>
        <v>0</v>
      </c>
      <c r="H8" s="35">
        <f t="shared" si="2"/>
        <v>0</v>
      </c>
      <c r="I8" s="36">
        <f t="shared" si="3"/>
        <v>0</v>
      </c>
      <c r="J8" s="37">
        <f t="shared" si="4"/>
        <v>0.46</v>
      </c>
      <c r="K8" s="35">
        <f t="shared" si="5"/>
        <v>0</v>
      </c>
      <c r="L8" s="38">
        <f t="shared" si="6"/>
        <v>0</v>
      </c>
      <c r="M8" s="39">
        <f t="shared" si="7"/>
        <v>0</v>
      </c>
      <c r="N8" s="40">
        <f t="shared" si="8"/>
        <v>0</v>
      </c>
    </row>
    <row r="9" ht="18.75" customHeight="1">
      <c r="A9" s="27">
        <v>3.0</v>
      </c>
      <c r="B9" s="25" t="s">
        <v>38</v>
      </c>
      <c r="C9" s="26"/>
      <c r="D9" s="29"/>
      <c r="E9" s="33">
        <v>0.0</v>
      </c>
      <c r="F9" s="32">
        <v>0.0</v>
      </c>
      <c r="G9" s="34">
        <f t="shared" si="1"/>
        <v>0</v>
      </c>
      <c r="H9" s="35">
        <f t="shared" si="2"/>
        <v>0</v>
      </c>
      <c r="I9" s="36">
        <f t="shared" si="3"/>
        <v>0</v>
      </c>
      <c r="J9" s="37">
        <f t="shared" si="4"/>
        <v>0.46</v>
      </c>
      <c r="K9" s="35">
        <f t="shared" si="5"/>
        <v>0</v>
      </c>
      <c r="L9" s="38">
        <f t="shared" si="6"/>
        <v>0</v>
      </c>
      <c r="M9" s="39">
        <f t="shared" si="7"/>
        <v>0</v>
      </c>
      <c r="N9" s="40">
        <f t="shared" si="8"/>
        <v>0</v>
      </c>
    </row>
    <row r="10" ht="18.75" customHeight="1">
      <c r="A10" s="23">
        <v>4.0</v>
      </c>
      <c r="B10" s="25" t="s">
        <v>39</v>
      </c>
      <c r="C10" s="26"/>
      <c r="D10" s="29"/>
      <c r="E10" s="33">
        <v>0.0</v>
      </c>
      <c r="F10" s="32">
        <v>0.0</v>
      </c>
      <c r="G10" s="34">
        <f t="shared" si="1"/>
        <v>0</v>
      </c>
      <c r="H10" s="35">
        <f t="shared" si="2"/>
        <v>0</v>
      </c>
      <c r="I10" s="36">
        <f t="shared" si="3"/>
        <v>0</v>
      </c>
      <c r="J10" s="37">
        <f t="shared" si="4"/>
        <v>0.46</v>
      </c>
      <c r="K10" s="35">
        <f t="shared" si="5"/>
        <v>0</v>
      </c>
      <c r="L10" s="38">
        <f t="shared" si="6"/>
        <v>0</v>
      </c>
      <c r="M10" s="39">
        <f t="shared" si="7"/>
        <v>0</v>
      </c>
      <c r="N10" s="40">
        <f t="shared" si="8"/>
        <v>0</v>
      </c>
    </row>
    <row r="11" ht="18.75" customHeight="1">
      <c r="A11" s="27">
        <v>5.0</v>
      </c>
      <c r="B11" s="25" t="s">
        <v>41</v>
      </c>
      <c r="C11" s="26"/>
      <c r="D11" s="29"/>
      <c r="E11" s="33">
        <v>0.0</v>
      </c>
      <c r="F11" s="32">
        <v>0.0</v>
      </c>
      <c r="G11" s="34">
        <f t="shared" si="1"/>
        <v>0</v>
      </c>
      <c r="H11" s="35">
        <f t="shared" si="2"/>
        <v>0</v>
      </c>
      <c r="I11" s="36">
        <f t="shared" si="3"/>
        <v>0</v>
      </c>
      <c r="J11" s="37">
        <f t="shared" si="4"/>
        <v>0.46</v>
      </c>
      <c r="K11" s="35">
        <f t="shared" si="5"/>
        <v>0</v>
      </c>
      <c r="L11" s="38">
        <f t="shared" si="6"/>
        <v>0</v>
      </c>
      <c r="M11" s="39">
        <f t="shared" si="7"/>
        <v>0</v>
      </c>
      <c r="N11" s="40">
        <f t="shared" si="8"/>
        <v>0</v>
      </c>
    </row>
    <row r="12" ht="18.75" customHeight="1">
      <c r="A12" s="27">
        <v>6.0</v>
      </c>
      <c r="B12" s="25" t="s">
        <v>49</v>
      </c>
      <c r="C12" s="26"/>
      <c r="D12" s="29"/>
      <c r="E12" s="33">
        <v>0.0</v>
      </c>
      <c r="F12" s="32">
        <v>0.0</v>
      </c>
      <c r="G12" s="34">
        <f t="shared" si="1"/>
        <v>0</v>
      </c>
      <c r="H12" s="35">
        <f t="shared" si="2"/>
        <v>0</v>
      </c>
      <c r="I12" s="36">
        <f t="shared" si="3"/>
        <v>0</v>
      </c>
      <c r="J12" s="37">
        <f t="shared" si="4"/>
        <v>0.46</v>
      </c>
      <c r="K12" s="35">
        <f t="shared" si="5"/>
        <v>0</v>
      </c>
      <c r="L12" s="38">
        <f t="shared" si="6"/>
        <v>0</v>
      </c>
      <c r="M12" s="39">
        <f t="shared" si="7"/>
        <v>0</v>
      </c>
      <c r="N12" s="40">
        <f t="shared" si="8"/>
        <v>0</v>
      </c>
    </row>
    <row r="13" ht="18.75" customHeight="1">
      <c r="A13" s="23">
        <v>7.0</v>
      </c>
      <c r="B13" s="25" t="s">
        <v>52</v>
      </c>
      <c r="C13" s="26"/>
      <c r="D13" s="29"/>
      <c r="E13" s="33">
        <v>0.0</v>
      </c>
      <c r="F13" s="32">
        <v>0.0</v>
      </c>
      <c r="G13" s="34">
        <f t="shared" si="1"/>
        <v>0</v>
      </c>
      <c r="H13" s="35">
        <f t="shared" si="2"/>
        <v>0</v>
      </c>
      <c r="I13" s="36">
        <f t="shared" si="3"/>
        <v>0</v>
      </c>
      <c r="J13" s="37">
        <f t="shared" si="4"/>
        <v>0.46</v>
      </c>
      <c r="K13" s="35">
        <f t="shared" si="5"/>
        <v>0</v>
      </c>
      <c r="L13" s="38">
        <f t="shared" si="6"/>
        <v>0</v>
      </c>
      <c r="M13" s="39">
        <f t="shared" si="7"/>
        <v>0</v>
      </c>
      <c r="N13" s="40">
        <f t="shared" si="8"/>
        <v>0</v>
      </c>
    </row>
    <row r="14" ht="18.75" customHeight="1">
      <c r="A14" s="27">
        <v>8.0</v>
      </c>
      <c r="B14" s="25" t="s">
        <v>53</v>
      </c>
      <c r="C14" s="26"/>
      <c r="D14" s="29"/>
      <c r="E14" s="33">
        <v>0.0</v>
      </c>
      <c r="F14" s="32">
        <v>0.0</v>
      </c>
      <c r="G14" s="34">
        <f t="shared" si="1"/>
        <v>0</v>
      </c>
      <c r="H14" s="35">
        <f t="shared" si="2"/>
        <v>0</v>
      </c>
      <c r="I14" s="36">
        <f t="shared" si="3"/>
        <v>0</v>
      </c>
      <c r="J14" s="37">
        <f t="shared" si="4"/>
        <v>0.46</v>
      </c>
      <c r="K14" s="35">
        <f t="shared" si="5"/>
        <v>0</v>
      </c>
      <c r="L14" s="38">
        <f t="shared" si="6"/>
        <v>0</v>
      </c>
      <c r="M14" s="39">
        <f t="shared" si="7"/>
        <v>0</v>
      </c>
      <c r="N14" s="40">
        <f t="shared" si="8"/>
        <v>0</v>
      </c>
    </row>
    <row r="15" ht="18.75" customHeight="1">
      <c r="A15" s="27">
        <v>9.0</v>
      </c>
      <c r="B15" s="25" t="s">
        <v>54</v>
      </c>
      <c r="C15" s="26"/>
      <c r="D15" s="29"/>
      <c r="E15" s="33">
        <v>0.0</v>
      </c>
      <c r="F15" s="32">
        <v>0.0</v>
      </c>
      <c r="G15" s="34">
        <f t="shared" si="1"/>
        <v>0</v>
      </c>
      <c r="H15" s="35">
        <f t="shared" si="2"/>
        <v>0</v>
      </c>
      <c r="I15" s="36">
        <f t="shared" si="3"/>
        <v>0</v>
      </c>
      <c r="J15" s="37">
        <f t="shared" si="4"/>
        <v>0.46</v>
      </c>
      <c r="K15" s="35">
        <f t="shared" si="5"/>
        <v>0</v>
      </c>
      <c r="L15" s="38">
        <f t="shared" si="6"/>
        <v>0</v>
      </c>
      <c r="M15" s="39">
        <f t="shared" si="7"/>
        <v>0</v>
      </c>
      <c r="N15" s="40">
        <f t="shared" si="8"/>
        <v>0</v>
      </c>
    </row>
    <row r="16" ht="18.75" customHeight="1">
      <c r="A16" s="23">
        <v>10.0</v>
      </c>
      <c r="B16" s="25" t="s">
        <v>55</v>
      </c>
      <c r="C16" s="26"/>
      <c r="D16" s="29"/>
      <c r="E16" s="33">
        <v>0.0</v>
      </c>
      <c r="F16" s="55">
        <v>0.0</v>
      </c>
      <c r="G16" s="34">
        <f t="shared" si="1"/>
        <v>0</v>
      </c>
      <c r="H16" s="35">
        <f t="shared" si="2"/>
        <v>0</v>
      </c>
      <c r="I16" s="36">
        <f t="shared" si="3"/>
        <v>0</v>
      </c>
      <c r="J16" s="37">
        <f t="shared" si="4"/>
        <v>0.46</v>
      </c>
      <c r="K16" s="35">
        <f t="shared" si="5"/>
        <v>0</v>
      </c>
      <c r="L16" s="38">
        <f t="shared" si="6"/>
        <v>0</v>
      </c>
      <c r="M16" s="39">
        <f t="shared" si="7"/>
        <v>0</v>
      </c>
      <c r="N16" s="40">
        <f t="shared" si="8"/>
        <v>0</v>
      </c>
    </row>
    <row r="17" ht="18.75" customHeight="1">
      <c r="A17" s="27">
        <v>11.0</v>
      </c>
      <c r="B17" s="25" t="s">
        <v>57</v>
      </c>
      <c r="C17" s="26"/>
      <c r="D17" s="29"/>
      <c r="E17" s="33">
        <v>0.0</v>
      </c>
      <c r="F17" s="55">
        <v>0.0</v>
      </c>
      <c r="G17" s="34">
        <f t="shared" si="1"/>
        <v>0</v>
      </c>
      <c r="H17" s="35">
        <f t="shared" si="2"/>
        <v>0</v>
      </c>
      <c r="I17" s="36">
        <f t="shared" si="3"/>
        <v>0</v>
      </c>
      <c r="J17" s="37">
        <f t="shared" si="4"/>
        <v>0.46</v>
      </c>
      <c r="K17" s="35">
        <f t="shared" si="5"/>
        <v>0</v>
      </c>
      <c r="L17" s="38">
        <f t="shared" si="6"/>
        <v>0</v>
      </c>
      <c r="M17" s="39">
        <f t="shared" si="7"/>
        <v>0</v>
      </c>
      <c r="N17" s="40">
        <f t="shared" si="8"/>
        <v>0</v>
      </c>
    </row>
    <row r="18" ht="18.75" customHeight="1">
      <c r="A18" s="28" t="s">
        <v>58</v>
      </c>
      <c r="B18" s="30"/>
      <c r="C18" s="26"/>
      <c r="D18" s="29"/>
      <c r="E18" s="33">
        <v>0.0</v>
      </c>
      <c r="F18" s="55">
        <v>0.0</v>
      </c>
      <c r="G18" s="34">
        <f t="shared" si="1"/>
        <v>0</v>
      </c>
      <c r="H18" s="35">
        <f t="shared" si="2"/>
        <v>0</v>
      </c>
      <c r="I18" s="36">
        <f t="shared" si="3"/>
        <v>0</v>
      </c>
      <c r="J18" s="37">
        <f t="shared" si="4"/>
        <v>0.46</v>
      </c>
      <c r="K18" s="35">
        <f t="shared" si="5"/>
        <v>0</v>
      </c>
      <c r="L18" s="38">
        <f t="shared" si="6"/>
        <v>0</v>
      </c>
      <c r="M18" s="39">
        <f t="shared" si="7"/>
        <v>0</v>
      </c>
      <c r="N18" s="40">
        <f t="shared" si="8"/>
        <v>0</v>
      </c>
    </row>
    <row r="19" ht="18.75" customHeight="1">
      <c r="A19" s="23">
        <v>13.0</v>
      </c>
      <c r="B19" s="25" t="s">
        <v>64</v>
      </c>
      <c r="C19" s="26"/>
      <c r="D19" s="29"/>
      <c r="E19" s="33">
        <v>0.0</v>
      </c>
      <c r="F19" s="55">
        <v>0.0</v>
      </c>
      <c r="G19" s="34">
        <f t="shared" si="1"/>
        <v>0</v>
      </c>
      <c r="H19" s="35">
        <f t="shared" si="2"/>
        <v>0</v>
      </c>
      <c r="I19" s="36">
        <f t="shared" si="3"/>
        <v>0</v>
      </c>
      <c r="J19" s="37">
        <f t="shared" si="4"/>
        <v>0.46</v>
      </c>
      <c r="K19" s="35">
        <f t="shared" si="5"/>
        <v>0</v>
      </c>
      <c r="L19" s="38">
        <f t="shared" si="6"/>
        <v>0</v>
      </c>
      <c r="M19" s="39">
        <f t="shared" si="7"/>
        <v>0</v>
      </c>
      <c r="N19" s="40">
        <f t="shared" si="8"/>
        <v>0</v>
      </c>
    </row>
    <row r="20" ht="18.75" customHeight="1">
      <c r="A20" s="27">
        <v>14.0</v>
      </c>
      <c r="B20" s="25" t="s">
        <v>65</v>
      </c>
      <c r="C20" s="26"/>
      <c r="D20" s="29"/>
      <c r="E20" s="33">
        <v>0.0</v>
      </c>
      <c r="F20" s="55">
        <v>0.0</v>
      </c>
      <c r="G20" s="34">
        <f t="shared" si="1"/>
        <v>0</v>
      </c>
      <c r="H20" s="35">
        <f t="shared" si="2"/>
        <v>0</v>
      </c>
      <c r="I20" s="36">
        <f t="shared" si="3"/>
        <v>0</v>
      </c>
      <c r="J20" s="37">
        <f t="shared" si="4"/>
        <v>0.46</v>
      </c>
      <c r="K20" s="35">
        <f t="shared" si="5"/>
        <v>0</v>
      </c>
      <c r="L20" s="38">
        <f t="shared" si="6"/>
        <v>0</v>
      </c>
      <c r="M20" s="39">
        <f t="shared" si="7"/>
        <v>0</v>
      </c>
      <c r="N20" s="40">
        <f t="shared" si="8"/>
        <v>0</v>
      </c>
    </row>
    <row r="21" ht="18.75" customHeight="1">
      <c r="A21" s="27">
        <v>15.0</v>
      </c>
      <c r="B21" s="25" t="s">
        <v>66</v>
      </c>
      <c r="C21" s="26"/>
      <c r="D21" s="29"/>
      <c r="E21" s="33">
        <v>0.0</v>
      </c>
      <c r="F21" s="55">
        <v>0.0</v>
      </c>
      <c r="G21" s="34">
        <f t="shared" si="1"/>
        <v>0</v>
      </c>
      <c r="H21" s="35">
        <f t="shared" si="2"/>
        <v>0</v>
      </c>
      <c r="I21" s="36">
        <f t="shared" si="3"/>
        <v>0</v>
      </c>
      <c r="J21" s="37">
        <f t="shared" si="4"/>
        <v>0.46</v>
      </c>
      <c r="K21" s="35">
        <f t="shared" si="5"/>
        <v>0</v>
      </c>
      <c r="L21" s="38">
        <f t="shared" si="6"/>
        <v>0</v>
      </c>
      <c r="M21" s="39">
        <f t="shared" si="7"/>
        <v>0</v>
      </c>
      <c r="N21" s="40">
        <f t="shared" si="8"/>
        <v>0</v>
      </c>
    </row>
    <row r="22" ht="18.75" customHeight="1">
      <c r="A22" s="23">
        <v>16.0</v>
      </c>
      <c r="B22" s="25" t="s">
        <v>67</v>
      </c>
      <c r="C22" s="26"/>
      <c r="D22" s="29"/>
      <c r="E22" s="33">
        <v>0.0</v>
      </c>
      <c r="F22" s="55">
        <v>0.0</v>
      </c>
      <c r="G22" s="34">
        <f t="shared" si="1"/>
        <v>0</v>
      </c>
      <c r="H22" s="35">
        <f t="shared" si="2"/>
        <v>0</v>
      </c>
      <c r="I22" s="36">
        <f t="shared" si="3"/>
        <v>0</v>
      </c>
      <c r="J22" s="37">
        <f t="shared" si="4"/>
        <v>0.46</v>
      </c>
      <c r="K22" s="35">
        <f t="shared" si="5"/>
        <v>0</v>
      </c>
      <c r="L22" s="38">
        <f t="shared" si="6"/>
        <v>0</v>
      </c>
      <c r="M22" s="39">
        <f t="shared" si="7"/>
        <v>0</v>
      </c>
      <c r="N22" s="40">
        <f t="shared" si="8"/>
        <v>0</v>
      </c>
    </row>
    <row r="23" ht="18.75" customHeight="1">
      <c r="A23" s="28" t="s">
        <v>68</v>
      </c>
      <c r="B23" s="30"/>
      <c r="C23" s="26"/>
      <c r="D23" s="29"/>
      <c r="E23" s="33">
        <v>0.0</v>
      </c>
      <c r="F23" s="55">
        <v>0.0</v>
      </c>
      <c r="G23" s="34">
        <f t="shared" si="1"/>
        <v>0</v>
      </c>
      <c r="H23" s="35">
        <f t="shared" si="2"/>
        <v>0</v>
      </c>
      <c r="I23" s="36">
        <f t="shared" si="3"/>
        <v>0</v>
      </c>
      <c r="J23" s="37">
        <f t="shared" si="4"/>
        <v>0.46</v>
      </c>
      <c r="K23" s="35">
        <f t="shared" si="5"/>
        <v>0</v>
      </c>
      <c r="L23" s="38">
        <f t="shared" si="6"/>
        <v>0</v>
      </c>
      <c r="M23" s="39">
        <f t="shared" si="7"/>
        <v>0</v>
      </c>
      <c r="N23" s="40">
        <f t="shared" si="8"/>
        <v>0</v>
      </c>
    </row>
    <row r="24" ht="18.75" customHeight="1">
      <c r="A24" s="27">
        <v>18.0</v>
      </c>
      <c r="B24" s="25" t="s">
        <v>70</v>
      </c>
      <c r="C24" s="26"/>
      <c r="D24" s="29"/>
      <c r="E24" s="33">
        <v>0.0</v>
      </c>
      <c r="F24" s="55">
        <v>0.0</v>
      </c>
      <c r="G24" s="34">
        <f t="shared" si="1"/>
        <v>0</v>
      </c>
      <c r="H24" s="35">
        <f t="shared" si="2"/>
        <v>0</v>
      </c>
      <c r="I24" s="36">
        <f t="shared" si="3"/>
        <v>0</v>
      </c>
      <c r="J24" s="37">
        <f t="shared" si="4"/>
        <v>0.46</v>
      </c>
      <c r="K24" s="35">
        <f t="shared" si="5"/>
        <v>0</v>
      </c>
      <c r="L24" s="38">
        <f t="shared" si="6"/>
        <v>0</v>
      </c>
      <c r="M24" s="39">
        <f t="shared" si="7"/>
        <v>0</v>
      </c>
      <c r="N24" s="40">
        <f t="shared" si="8"/>
        <v>0</v>
      </c>
    </row>
    <row r="25" ht="18.75" customHeight="1">
      <c r="A25" s="23">
        <v>19.0</v>
      </c>
      <c r="B25" s="25" t="s">
        <v>74</v>
      </c>
      <c r="C25" s="26"/>
      <c r="D25" s="29"/>
      <c r="E25" s="33">
        <v>0.0</v>
      </c>
      <c r="F25" s="55">
        <v>0.0</v>
      </c>
      <c r="G25" s="34">
        <f t="shared" si="1"/>
        <v>0</v>
      </c>
      <c r="H25" s="35">
        <f t="shared" si="2"/>
        <v>0</v>
      </c>
      <c r="I25" s="36">
        <f t="shared" si="3"/>
        <v>0</v>
      </c>
      <c r="J25" s="37">
        <f t="shared" si="4"/>
        <v>0.46</v>
      </c>
      <c r="K25" s="35">
        <f t="shared" si="5"/>
        <v>0</v>
      </c>
      <c r="L25" s="38">
        <f t="shared" si="6"/>
        <v>0</v>
      </c>
      <c r="M25" s="39">
        <f t="shared" si="7"/>
        <v>0</v>
      </c>
      <c r="N25" s="40">
        <f t="shared" si="8"/>
        <v>0</v>
      </c>
    </row>
    <row r="26" ht="18.75" customHeight="1">
      <c r="A26" s="28" t="s">
        <v>75</v>
      </c>
      <c r="B26" s="30"/>
      <c r="C26" s="26"/>
      <c r="D26" s="29"/>
      <c r="E26" s="33">
        <v>0.0</v>
      </c>
      <c r="F26" s="55">
        <v>0.0</v>
      </c>
      <c r="G26" s="34">
        <f t="shared" si="1"/>
        <v>0</v>
      </c>
      <c r="H26" s="35">
        <f t="shared" si="2"/>
        <v>0</v>
      </c>
      <c r="I26" s="36">
        <f t="shared" si="3"/>
        <v>0</v>
      </c>
      <c r="J26" s="37">
        <f t="shared" si="4"/>
        <v>0.46</v>
      </c>
      <c r="K26" s="35">
        <f t="shared" si="5"/>
        <v>0</v>
      </c>
      <c r="L26" s="38">
        <f t="shared" si="6"/>
        <v>0</v>
      </c>
      <c r="M26" s="39">
        <f t="shared" si="7"/>
        <v>0</v>
      </c>
      <c r="N26" s="40">
        <f t="shared" si="8"/>
        <v>0</v>
      </c>
    </row>
    <row r="27" ht="18.75" customHeight="1">
      <c r="A27" s="27">
        <v>21.0</v>
      </c>
      <c r="B27" s="25" t="s">
        <v>78</v>
      </c>
      <c r="C27" s="26"/>
      <c r="D27" s="29"/>
      <c r="E27" s="33">
        <v>0.0</v>
      </c>
      <c r="F27" s="55">
        <v>0.0</v>
      </c>
      <c r="G27" s="34">
        <f t="shared" si="1"/>
        <v>0</v>
      </c>
      <c r="H27" s="35">
        <f t="shared" si="2"/>
        <v>0</v>
      </c>
      <c r="I27" s="36">
        <f t="shared" si="3"/>
        <v>0</v>
      </c>
      <c r="J27" s="37">
        <f t="shared" si="4"/>
        <v>0.46</v>
      </c>
      <c r="K27" s="35">
        <f t="shared" si="5"/>
        <v>0</v>
      </c>
      <c r="L27" s="38">
        <f t="shared" si="6"/>
        <v>0</v>
      </c>
      <c r="M27" s="39">
        <f t="shared" si="7"/>
        <v>0</v>
      </c>
      <c r="N27" s="40">
        <f t="shared" si="8"/>
        <v>0</v>
      </c>
    </row>
    <row r="28" ht="18.75" customHeight="1">
      <c r="A28" s="23">
        <v>22.0</v>
      </c>
      <c r="B28" s="25" t="s">
        <v>80</v>
      </c>
      <c r="C28" s="26"/>
      <c r="D28" s="29"/>
      <c r="E28" s="33">
        <v>0.0</v>
      </c>
      <c r="F28" s="55">
        <v>0.0</v>
      </c>
      <c r="G28" s="34">
        <f t="shared" si="1"/>
        <v>0</v>
      </c>
      <c r="H28" s="35">
        <f t="shared" si="2"/>
        <v>0</v>
      </c>
      <c r="I28" s="36">
        <f t="shared" si="3"/>
        <v>0</v>
      </c>
      <c r="J28" s="37">
        <f t="shared" si="4"/>
        <v>0.46</v>
      </c>
      <c r="K28" s="35">
        <f t="shared" si="5"/>
        <v>0</v>
      </c>
      <c r="L28" s="38">
        <f t="shared" si="6"/>
        <v>0</v>
      </c>
      <c r="M28" s="39">
        <f t="shared" si="7"/>
        <v>0</v>
      </c>
      <c r="N28" s="40">
        <f t="shared" si="8"/>
        <v>0</v>
      </c>
    </row>
    <row r="29" ht="18.75" customHeight="1">
      <c r="A29" s="28" t="s">
        <v>82</v>
      </c>
      <c r="B29" s="30"/>
      <c r="C29" s="26"/>
      <c r="D29" s="29"/>
      <c r="E29" s="33">
        <v>0.0</v>
      </c>
      <c r="F29" s="55">
        <v>0.0</v>
      </c>
      <c r="G29" s="34">
        <f t="shared" si="1"/>
        <v>0</v>
      </c>
      <c r="H29" s="35">
        <f t="shared" si="2"/>
        <v>0</v>
      </c>
      <c r="I29" s="36">
        <f t="shared" si="3"/>
        <v>0</v>
      </c>
      <c r="J29" s="37">
        <f t="shared" si="4"/>
        <v>0.46</v>
      </c>
      <c r="K29" s="35">
        <f t="shared" si="5"/>
        <v>0</v>
      </c>
      <c r="L29" s="38">
        <f t="shared" si="6"/>
        <v>0</v>
      </c>
      <c r="M29" s="39">
        <f t="shared" si="7"/>
        <v>0</v>
      </c>
      <c r="N29" s="40">
        <f t="shared" si="8"/>
        <v>0</v>
      </c>
    </row>
    <row r="30" ht="18.75" customHeight="1">
      <c r="A30" s="27">
        <v>24.0</v>
      </c>
      <c r="B30" s="25" t="s">
        <v>83</v>
      </c>
      <c r="C30" s="26"/>
      <c r="D30" s="29"/>
      <c r="E30" s="33">
        <v>0.0</v>
      </c>
      <c r="F30" s="55">
        <v>0.0</v>
      </c>
      <c r="G30" s="34">
        <f t="shared" si="1"/>
        <v>0</v>
      </c>
      <c r="H30" s="35">
        <f t="shared" si="2"/>
        <v>0</v>
      </c>
      <c r="I30" s="36">
        <f t="shared" si="3"/>
        <v>0</v>
      </c>
      <c r="J30" s="37">
        <f t="shared" si="4"/>
        <v>0.46</v>
      </c>
      <c r="K30" s="35">
        <f t="shared" si="5"/>
        <v>0</v>
      </c>
      <c r="L30" s="38">
        <f t="shared" si="6"/>
        <v>0</v>
      </c>
      <c r="M30" s="39">
        <f t="shared" si="7"/>
        <v>0</v>
      </c>
      <c r="N30" s="40">
        <f t="shared" si="8"/>
        <v>0</v>
      </c>
    </row>
    <row r="31" ht="18.75" customHeight="1">
      <c r="A31" s="23">
        <v>25.0</v>
      </c>
      <c r="B31" s="25" t="s">
        <v>85</v>
      </c>
      <c r="C31" s="26"/>
      <c r="D31" s="29"/>
      <c r="E31" s="33">
        <v>0.0</v>
      </c>
      <c r="F31" s="55">
        <v>0.0</v>
      </c>
      <c r="G31" s="34">
        <f t="shared" si="1"/>
        <v>0</v>
      </c>
      <c r="H31" s="35">
        <f t="shared" si="2"/>
        <v>0</v>
      </c>
      <c r="I31" s="36">
        <f t="shared" si="3"/>
        <v>0</v>
      </c>
      <c r="J31" s="37">
        <f t="shared" si="4"/>
        <v>0.46</v>
      </c>
      <c r="K31" s="35">
        <f t="shared" si="5"/>
        <v>0</v>
      </c>
      <c r="L31" s="38">
        <f t="shared" si="6"/>
        <v>0</v>
      </c>
      <c r="M31" s="39">
        <f t="shared" si="7"/>
        <v>0</v>
      </c>
      <c r="N31" s="40">
        <f t="shared" si="8"/>
        <v>0</v>
      </c>
    </row>
    <row r="32" ht="18.75" customHeight="1">
      <c r="A32" s="27">
        <v>26.0</v>
      </c>
      <c r="B32" s="25" t="s">
        <v>86</v>
      </c>
      <c r="C32" s="26"/>
      <c r="D32" s="29"/>
      <c r="E32" s="33">
        <v>0.0</v>
      </c>
      <c r="F32" s="55">
        <v>0.0</v>
      </c>
      <c r="G32" s="34">
        <f t="shared" si="1"/>
        <v>0</v>
      </c>
      <c r="H32" s="35">
        <f t="shared" si="2"/>
        <v>0</v>
      </c>
      <c r="I32" s="36">
        <f t="shared" si="3"/>
        <v>0</v>
      </c>
      <c r="J32" s="37">
        <f t="shared" si="4"/>
        <v>0.46</v>
      </c>
      <c r="K32" s="35">
        <f t="shared" si="5"/>
        <v>0</v>
      </c>
      <c r="L32" s="38">
        <f t="shared" si="6"/>
        <v>0</v>
      </c>
      <c r="M32" s="39">
        <f t="shared" si="7"/>
        <v>0</v>
      </c>
      <c r="N32" s="40">
        <f t="shared" si="8"/>
        <v>0</v>
      </c>
    </row>
    <row r="33" ht="18.75" customHeight="1">
      <c r="A33" s="27">
        <v>27.0</v>
      </c>
      <c r="B33" s="25" t="s">
        <v>87</v>
      </c>
      <c r="C33" s="26"/>
      <c r="D33" s="29"/>
      <c r="E33" s="33">
        <v>0.0</v>
      </c>
      <c r="F33" s="55">
        <v>0.0</v>
      </c>
      <c r="G33" s="34">
        <f t="shared" si="1"/>
        <v>0</v>
      </c>
      <c r="H33" s="35">
        <f t="shared" si="2"/>
        <v>0</v>
      </c>
      <c r="I33" s="36">
        <f t="shared" si="3"/>
        <v>0</v>
      </c>
      <c r="J33" s="37">
        <f t="shared" si="4"/>
        <v>0.46</v>
      </c>
      <c r="K33" s="35">
        <f t="shared" si="5"/>
        <v>0</v>
      </c>
      <c r="L33" s="38">
        <f t="shared" si="6"/>
        <v>0</v>
      </c>
      <c r="M33" s="39">
        <f t="shared" si="7"/>
        <v>0</v>
      </c>
      <c r="N33" s="40">
        <f t="shared" si="8"/>
        <v>0</v>
      </c>
    </row>
    <row r="34" ht="18.75" customHeight="1">
      <c r="A34" s="23">
        <v>28.0</v>
      </c>
      <c r="B34" s="25" t="s">
        <v>88</v>
      </c>
      <c r="C34" s="26"/>
      <c r="D34" s="29"/>
      <c r="E34" s="33">
        <v>0.0</v>
      </c>
      <c r="F34" s="55">
        <v>0.0</v>
      </c>
      <c r="G34" s="34">
        <f t="shared" si="1"/>
        <v>0</v>
      </c>
      <c r="H34" s="35">
        <f t="shared" si="2"/>
        <v>0</v>
      </c>
      <c r="I34" s="36">
        <f t="shared" si="3"/>
        <v>0</v>
      </c>
      <c r="J34" s="37">
        <f t="shared" si="4"/>
        <v>0.46</v>
      </c>
      <c r="K34" s="35">
        <f t="shared" si="5"/>
        <v>0</v>
      </c>
      <c r="L34" s="38">
        <f t="shared" si="6"/>
        <v>0</v>
      </c>
      <c r="M34" s="39">
        <f t="shared" si="7"/>
        <v>0</v>
      </c>
      <c r="N34" s="40">
        <f t="shared" si="8"/>
        <v>0</v>
      </c>
    </row>
    <row r="35" ht="18.75" customHeight="1">
      <c r="A35" s="27">
        <v>29.0</v>
      </c>
      <c r="B35" s="25" t="s">
        <v>89</v>
      </c>
      <c r="C35" s="26"/>
      <c r="D35" s="29"/>
      <c r="E35" s="33"/>
      <c r="F35" s="55"/>
      <c r="G35" s="34"/>
      <c r="H35" s="35"/>
      <c r="I35" s="36"/>
      <c r="J35" s="37"/>
      <c r="K35" s="35"/>
      <c r="L35" s="38"/>
      <c r="M35" s="39"/>
      <c r="N35" s="40"/>
    </row>
    <row r="36" ht="18.75" customHeight="1">
      <c r="A36" s="23">
        <v>30.0</v>
      </c>
      <c r="B36" s="25" t="s">
        <v>90</v>
      </c>
      <c r="C36" s="26"/>
      <c r="D36" s="29"/>
      <c r="E36" s="33"/>
      <c r="F36" s="55"/>
      <c r="G36" s="34"/>
      <c r="H36" s="35"/>
      <c r="I36" s="36"/>
      <c r="J36" s="37"/>
      <c r="K36" s="35"/>
      <c r="L36" s="38"/>
      <c r="M36" s="39"/>
      <c r="N36" s="40"/>
    </row>
    <row r="37" ht="18.75" customHeight="1">
      <c r="A37" s="27">
        <v>31.0</v>
      </c>
      <c r="B37" s="25" t="s">
        <v>91</v>
      </c>
      <c r="C37" s="26"/>
      <c r="D37" s="29"/>
      <c r="E37" s="33"/>
      <c r="F37" s="55"/>
      <c r="G37" s="34"/>
      <c r="H37" s="35"/>
      <c r="I37" s="36"/>
      <c r="J37" s="37"/>
      <c r="K37" s="35"/>
      <c r="L37" s="38"/>
      <c r="M37" s="39"/>
      <c r="N37" s="40"/>
    </row>
    <row r="38" ht="18.75" customHeight="1">
      <c r="A38" s="28" t="s">
        <v>92</v>
      </c>
      <c r="B38" s="30"/>
      <c r="C38" s="26"/>
      <c r="D38" s="29"/>
      <c r="E38" s="33"/>
      <c r="F38" s="55"/>
      <c r="G38" s="34"/>
      <c r="H38" s="35"/>
      <c r="I38" s="36"/>
      <c r="J38" s="37"/>
      <c r="K38" s="35"/>
      <c r="L38" s="38"/>
      <c r="M38" s="39"/>
      <c r="N38" s="40"/>
    </row>
    <row r="39" ht="18.75" customHeight="1">
      <c r="A39" s="23"/>
      <c r="B39" s="25" t="s">
        <v>93</v>
      </c>
      <c r="C39" s="26"/>
      <c r="D39" s="29"/>
      <c r="E39" s="33"/>
      <c r="F39" s="55"/>
      <c r="G39" s="34"/>
      <c r="H39" s="35"/>
      <c r="I39" s="36"/>
      <c r="J39" s="37"/>
      <c r="K39" s="35"/>
      <c r="L39" s="38"/>
      <c r="M39" s="39"/>
      <c r="N39" s="40"/>
    </row>
    <row r="40" ht="18.75" customHeight="1">
      <c r="A40" s="23">
        <v>32.0</v>
      </c>
      <c r="B40" s="25" t="s">
        <v>94</v>
      </c>
      <c r="C40" s="26"/>
      <c r="D40" s="29"/>
      <c r="E40" s="33"/>
      <c r="F40" s="55"/>
      <c r="G40" s="34"/>
      <c r="H40" s="35"/>
      <c r="I40" s="36"/>
      <c r="J40" s="37"/>
      <c r="K40" s="35"/>
      <c r="L40" s="38"/>
      <c r="M40" s="39"/>
      <c r="N40" s="40"/>
    </row>
    <row r="41" ht="18.75" customHeight="1">
      <c r="A41" s="27">
        <v>33.0</v>
      </c>
      <c r="B41" s="25" t="s">
        <v>95</v>
      </c>
      <c r="C41" s="26"/>
      <c r="D41" s="29"/>
      <c r="E41" s="33"/>
      <c r="F41" s="55"/>
      <c r="G41" s="34"/>
      <c r="H41" s="35"/>
      <c r="I41" s="36"/>
      <c r="J41" s="37"/>
      <c r="K41" s="35"/>
      <c r="L41" s="38"/>
      <c r="M41" s="39"/>
      <c r="N41" s="40"/>
    </row>
    <row r="42" ht="18.75" customHeight="1">
      <c r="A42" s="23">
        <v>34.0</v>
      </c>
      <c r="B42" s="25"/>
      <c r="C42" s="26"/>
      <c r="D42" s="29"/>
      <c r="E42" s="33">
        <v>0.0</v>
      </c>
      <c r="F42" s="55">
        <v>0.0</v>
      </c>
      <c r="G42" s="34">
        <f t="shared" ref="G42:G43" si="9">IF(F42=0,0,F42*$B$4*E42)</f>
        <v>0</v>
      </c>
      <c r="H42" s="35">
        <f>IF(F42=0,0,G42*$D$5)</f>
        <v>0</v>
      </c>
      <c r="I42" s="36">
        <f t="shared" ref="I42:I43" si="10">IF(F42=0,0,G42+H42)</f>
        <v>0</v>
      </c>
      <c r="J42" s="37">
        <f t="shared" ref="J42:J43" si="11">$F$4</f>
        <v>0.46</v>
      </c>
      <c r="K42" s="35">
        <f>IF(F42=0,0,I42*$J$4)</f>
        <v>0</v>
      </c>
      <c r="L42" s="38">
        <f t="shared" ref="L42:L43" si="12">IF(F42=0,0,I42*(1+$J$7)+K42)</f>
        <v>0</v>
      </c>
      <c r="M42" s="39">
        <f t="shared" ref="M42:M43" si="13">IF(F42=0,0,L42*(1+$D$4))</f>
        <v>0</v>
      </c>
      <c r="N42" s="40">
        <f t="shared" ref="N42:N43" si="14">IF(F42=0,0,L42-I42)</f>
        <v>0</v>
      </c>
    </row>
    <row r="43" ht="18.75" customHeight="1">
      <c r="A43" s="27">
        <v>35.0</v>
      </c>
      <c r="B43" s="77" t="s">
        <v>96</v>
      </c>
      <c r="C43" s="77" t="s">
        <v>72</v>
      </c>
      <c r="D43" s="79" t="s">
        <v>73</v>
      </c>
      <c r="E43" s="80">
        <v>1.0</v>
      </c>
      <c r="F43" s="92">
        <v>0.0</v>
      </c>
      <c r="G43" s="82">
        <f t="shared" si="9"/>
        <v>0</v>
      </c>
      <c r="H43" s="93">
        <v>0.0</v>
      </c>
      <c r="I43" s="85">
        <f t="shared" si="10"/>
        <v>0</v>
      </c>
      <c r="J43" s="86">
        <f t="shared" si="11"/>
        <v>0.46</v>
      </c>
      <c r="K43" s="93">
        <v>0.0</v>
      </c>
      <c r="L43" s="87">
        <f t="shared" si="12"/>
        <v>0</v>
      </c>
      <c r="M43" s="87">
        <f t="shared" si="13"/>
        <v>0</v>
      </c>
      <c r="N43" s="88">
        <f t="shared" si="14"/>
        <v>0</v>
      </c>
    </row>
    <row r="44" ht="24.0" customHeight="1">
      <c r="A44" s="41"/>
      <c r="B44" s="42" t="s">
        <v>37</v>
      </c>
      <c r="C44" s="43"/>
      <c r="D44" s="43"/>
      <c r="E44" s="44"/>
      <c r="F44" s="45">
        <f t="shared" ref="F44:I44" si="15">SUM(F7:F43)</f>
        <v>0</v>
      </c>
      <c r="G44" s="46">
        <f t="shared" si="15"/>
        <v>0</v>
      </c>
      <c r="H44" s="46">
        <f t="shared" si="15"/>
        <v>0</v>
      </c>
      <c r="I44" s="46">
        <f t="shared" si="15"/>
        <v>0</v>
      </c>
      <c r="J44" s="47">
        <f>F4</f>
        <v>0.46</v>
      </c>
      <c r="K44" s="46">
        <f t="shared" ref="K44:N44" si="16">SUM(K7:K43)</f>
        <v>0</v>
      </c>
      <c r="L44" s="46">
        <f t="shared" si="16"/>
        <v>0</v>
      </c>
      <c r="M44" s="46">
        <f t="shared" si="16"/>
        <v>0</v>
      </c>
      <c r="N44" s="46">
        <f t="shared" si="16"/>
        <v>0</v>
      </c>
    </row>
    <row r="45" ht="15.75" customHeight="1"/>
    <row r="46" ht="15.75" customHeight="1"/>
    <row r="47" ht="15.75" customHeight="1"/>
    <row r="48" ht="15.75" customHeight="1"/>
    <row r="49">
      <c r="G49" s="48" t="s">
        <v>40</v>
      </c>
      <c r="H49" s="49"/>
      <c r="I49" s="49"/>
      <c r="J49" s="49"/>
      <c r="K49" s="49"/>
      <c r="L49" s="49"/>
      <c r="M49" s="49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G50" s="52" t="s">
        <v>42</v>
      </c>
      <c r="H50" s="49"/>
      <c r="I50" s="49"/>
      <c r="J50" s="49"/>
      <c r="K50" s="49"/>
      <c r="L50" s="49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G51" s="53" t="s">
        <v>43</v>
      </c>
      <c r="H51" s="53" t="s">
        <v>44</v>
      </c>
      <c r="I51" s="54" t="s">
        <v>45</v>
      </c>
      <c r="J51" s="54" t="s">
        <v>46</v>
      </c>
      <c r="K51" s="54" t="s">
        <v>47</v>
      </c>
      <c r="L51" s="54" t="s">
        <v>48</v>
      </c>
      <c r="M51" s="54" t="s">
        <v>50</v>
      </c>
      <c r="N51" s="54" t="s">
        <v>51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G52" s="56">
        <v>0.0</v>
      </c>
      <c r="H52" s="56">
        <v>0.0</v>
      </c>
      <c r="I52" s="57">
        <f t="shared" ref="I52:I54" si="17">IF(G52*H52=0,0,G52*H52*8)</f>
        <v>0</v>
      </c>
      <c r="J52" s="58">
        <v>15.125</v>
      </c>
      <c r="K52" s="59">
        <f t="shared" ref="K52:K54" si="18">IF(I52*J52=0,0,I52*J52)</f>
        <v>0</v>
      </c>
      <c r="L52" s="59">
        <f t="shared" ref="L52:L54" si="19">IF(K52=0,0,K52*(1+$D$4))</f>
        <v>0</v>
      </c>
      <c r="M52" s="60">
        <f t="shared" ref="M52:M54" si="20">IF(K52=0,0,K52*$B$4)</f>
        <v>0</v>
      </c>
      <c r="N52" s="61">
        <f t="shared" ref="N52:N54" si="21">IF(M52=0,0,M52*(1+$D$4))</f>
        <v>0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G53" s="62">
        <v>0.0</v>
      </c>
      <c r="H53" s="62">
        <v>0.0</v>
      </c>
      <c r="I53" s="57">
        <f t="shared" si="17"/>
        <v>0</v>
      </c>
      <c r="J53" s="58">
        <v>15.125</v>
      </c>
      <c r="K53" s="59">
        <f t="shared" si="18"/>
        <v>0</v>
      </c>
      <c r="L53" s="59">
        <f t="shared" si="19"/>
        <v>0</v>
      </c>
      <c r="M53" s="60">
        <f t="shared" si="20"/>
        <v>0</v>
      </c>
      <c r="N53" s="61">
        <f t="shared" si="21"/>
        <v>0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G54" s="62">
        <v>0.0</v>
      </c>
      <c r="H54" s="62">
        <v>0.0</v>
      </c>
      <c r="I54" s="57">
        <f t="shared" si="17"/>
        <v>0</v>
      </c>
      <c r="J54" s="58">
        <v>15.125</v>
      </c>
      <c r="K54" s="59">
        <f t="shared" si="18"/>
        <v>0</v>
      </c>
      <c r="L54" s="59">
        <f t="shared" si="19"/>
        <v>0</v>
      </c>
      <c r="M54" s="60">
        <f t="shared" si="20"/>
        <v>0</v>
      </c>
      <c r="N54" s="61">
        <f t="shared" si="21"/>
        <v>0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G55" s="63" t="s">
        <v>56</v>
      </c>
      <c r="H55" s="49"/>
      <c r="I55" s="49"/>
      <c r="J55" s="50"/>
      <c r="K55" s="64">
        <f t="shared" ref="K55:N55" si="22">SUM(K52:K54)</f>
        <v>0</v>
      </c>
      <c r="L55" s="65">
        <f t="shared" si="22"/>
        <v>0</v>
      </c>
      <c r="M55" s="65">
        <f t="shared" si="22"/>
        <v>0</v>
      </c>
      <c r="N55" s="65">
        <f t="shared" si="22"/>
        <v>0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66" t="s">
        <v>59</v>
      </c>
      <c r="H57" s="49"/>
      <c r="I57" s="49"/>
      <c r="J57" s="49"/>
      <c r="K57" s="49"/>
      <c r="L57" s="49"/>
      <c r="M57" s="49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67" t="s">
        <v>60</v>
      </c>
      <c r="H58" s="68" t="s">
        <v>61</v>
      </c>
      <c r="I58" s="68" t="s">
        <v>62</v>
      </c>
      <c r="J58" s="67" t="s">
        <v>63</v>
      </c>
      <c r="K58" s="68" t="s">
        <v>47</v>
      </c>
      <c r="L58" s="68" t="s">
        <v>48</v>
      </c>
      <c r="M58" s="68" t="s">
        <v>50</v>
      </c>
      <c r="N58" s="68" t="s">
        <v>51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6">
        <v>0.0</v>
      </c>
      <c r="H59" s="56">
        <f t="shared" ref="H59:H61" si="23">G59</f>
        <v>0</v>
      </c>
      <c r="I59" s="69">
        <f t="shared" ref="I59:I61" si="24">IF(G59*2=0,0,G59*2)</f>
        <v>0</v>
      </c>
      <c r="J59" s="58">
        <v>1.331</v>
      </c>
      <c r="K59" s="70">
        <f t="shared" ref="K59:K61" si="25">IF(I59*J59=0,0,I59*J59)</f>
        <v>0</v>
      </c>
      <c r="L59" s="71">
        <f t="shared" ref="L59:L61" si="26">IF(K59=0,0,K59*$B$4*(1+$D$4))</f>
        <v>0</v>
      </c>
      <c r="M59" s="72">
        <f t="shared" ref="M59:M61" si="27">IF(K59=0,0,K59*$B$4)</f>
        <v>0</v>
      </c>
      <c r="N59" s="73">
        <f t="shared" ref="N59:N61" si="28">IF(M59=0,0,M59*(1+$D$4))</f>
        <v>0</v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62">
        <v>0.0</v>
      </c>
      <c r="H60" s="56">
        <f t="shared" si="23"/>
        <v>0</v>
      </c>
      <c r="I60" s="69">
        <f t="shared" si="24"/>
        <v>0</v>
      </c>
      <c r="J60" s="58">
        <v>1.331</v>
      </c>
      <c r="K60" s="70">
        <f t="shared" si="25"/>
        <v>0</v>
      </c>
      <c r="L60" s="71">
        <f t="shared" si="26"/>
        <v>0</v>
      </c>
      <c r="M60" s="72">
        <f t="shared" si="27"/>
        <v>0</v>
      </c>
      <c r="N60" s="73">
        <f t="shared" si="28"/>
        <v>0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G61" s="62">
        <v>0.0</v>
      </c>
      <c r="H61" s="56">
        <f t="shared" si="23"/>
        <v>0</v>
      </c>
      <c r="I61" s="69">
        <f t="shared" si="24"/>
        <v>0</v>
      </c>
      <c r="J61" s="58">
        <v>1.331</v>
      </c>
      <c r="K61" s="70">
        <f t="shared" si="25"/>
        <v>0</v>
      </c>
      <c r="L61" s="71">
        <f t="shared" si="26"/>
        <v>0</v>
      </c>
      <c r="M61" s="72">
        <f t="shared" si="27"/>
        <v>0</v>
      </c>
      <c r="N61" s="73">
        <f t="shared" si="28"/>
        <v>0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G62" s="74" t="s">
        <v>69</v>
      </c>
      <c r="H62" s="49"/>
      <c r="I62" s="49"/>
      <c r="J62" s="50"/>
      <c r="K62" s="76">
        <f t="shared" ref="K62:N62" si="29">SUM(K59:K61)</f>
        <v>0</v>
      </c>
      <c r="L62" s="78">
        <f t="shared" si="29"/>
        <v>0</v>
      </c>
      <c r="M62" s="78">
        <f t="shared" si="29"/>
        <v>0</v>
      </c>
      <c r="N62" s="78">
        <f t="shared" si="29"/>
        <v>0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/>
    <row r="65" ht="15.75" customHeight="1"/>
    <row r="66" ht="16.5" customHeight="1">
      <c r="A66" s="48" t="s">
        <v>76</v>
      </c>
      <c r="B66" s="49"/>
      <c r="C66" s="49"/>
      <c r="D66" s="50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6.5" customHeight="1">
      <c r="A67" s="52" t="s">
        <v>77</v>
      </c>
      <c r="B67" s="49"/>
      <c r="C67" s="49"/>
      <c r="D67" s="50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26.25" customHeight="1">
      <c r="A68" s="54" t="s">
        <v>16</v>
      </c>
      <c r="B68" s="54" t="s">
        <v>79</v>
      </c>
      <c r="C68" s="54" t="s">
        <v>27</v>
      </c>
      <c r="D68" s="54" t="s">
        <v>28</v>
      </c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6.5" customHeight="1">
      <c r="A69" s="90">
        <v>1.0</v>
      </c>
      <c r="B69" s="90" t="s">
        <v>81</v>
      </c>
      <c r="C69" s="91">
        <f t="shared" ref="C69:D69" si="30">L44</f>
        <v>0</v>
      </c>
      <c r="D69" s="91">
        <f t="shared" si="30"/>
        <v>0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6.5" customHeight="1">
      <c r="A70" s="90">
        <v>2.0</v>
      </c>
      <c r="B70" s="90" t="s">
        <v>42</v>
      </c>
      <c r="C70" s="91">
        <f t="shared" ref="C70:D70" si="31">M55</f>
        <v>0</v>
      </c>
      <c r="D70" s="91">
        <f t="shared" si="31"/>
        <v>0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6.5" customHeight="1">
      <c r="A71" s="90">
        <v>3.0</v>
      </c>
      <c r="B71" s="90" t="s">
        <v>59</v>
      </c>
      <c r="C71" s="91">
        <f t="shared" ref="C71:D71" si="32">M62</f>
        <v>0</v>
      </c>
      <c r="D71" s="91">
        <f t="shared" si="32"/>
        <v>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6.5" customHeight="1">
      <c r="A72" s="94" t="s">
        <v>84</v>
      </c>
      <c r="B72" s="50"/>
      <c r="C72" s="65">
        <f t="shared" ref="C72:D72" si="33">SUM(C69:C71)</f>
        <v>0</v>
      </c>
      <c r="D72" s="65">
        <f t="shared" si="33"/>
        <v>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A1:N1"/>
    <mergeCell ref="A2:N2"/>
    <mergeCell ref="A3:N3"/>
    <mergeCell ref="K4:N5"/>
    <mergeCell ref="A7:B7"/>
    <mergeCell ref="A18:B18"/>
    <mergeCell ref="A23:B23"/>
    <mergeCell ref="G62:J62"/>
    <mergeCell ref="A66:D66"/>
    <mergeCell ref="A67:D67"/>
    <mergeCell ref="A72:B72"/>
    <mergeCell ref="A26:B26"/>
    <mergeCell ref="A29:B29"/>
    <mergeCell ref="A38:B38"/>
    <mergeCell ref="G49:N49"/>
    <mergeCell ref="G50:N50"/>
    <mergeCell ref="G55:J55"/>
    <mergeCell ref="G57:N57"/>
  </mergeCells>
  <conditionalFormatting sqref="J7:J43">
    <cfRule type="cellIs" dxfId="0" priority="1" operator="lessThan">
      <formula>$H$4</formula>
    </cfRule>
  </conditionalFormatting>
  <conditionalFormatting sqref="J7:J43">
    <cfRule type="cellIs" dxfId="1" priority="2" operator="greaterThanOrEqual">
      <formula>$F$4</formula>
    </cfRule>
  </conditionalFormatting>
  <conditionalFormatting sqref="J7:J43">
    <cfRule type="cellIs" dxfId="2" priority="3" operator="between">
      <formula>$H$4</formula>
      <formula>$F$4</formula>
    </cfRule>
  </conditionalFormatting>
  <dataValidations>
    <dataValidation type="list" allowBlank="1" sqref="D7:D43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92.86"/>
    <col customWidth="1" min="3" max="3" width="22.43"/>
    <col customWidth="1" min="4" max="4" width="20.43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8.29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0.46</v>
      </c>
      <c r="G4" s="8" t="s">
        <v>6</v>
      </c>
      <c r="H4" s="9">
        <v>0.3</v>
      </c>
      <c r="I4" s="6" t="s">
        <v>7</v>
      </c>
      <c r="J4" s="11">
        <v>0.05</v>
      </c>
      <c r="K4" s="13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0.1</v>
      </c>
      <c r="E5" s="6" t="s">
        <v>12</v>
      </c>
      <c r="F5" s="16">
        <v>12.0</v>
      </c>
      <c r="G5" s="8" t="s">
        <v>14</v>
      </c>
      <c r="H5" s="16">
        <v>0.0</v>
      </c>
      <c r="I5" s="6" t="s">
        <v>15</v>
      </c>
      <c r="J5" s="16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2" t="s">
        <v>24</v>
      </c>
      <c r="J6" s="22" t="s">
        <v>26</v>
      </c>
      <c r="K6" s="24" t="s">
        <v>30</v>
      </c>
      <c r="L6" s="22" t="s">
        <v>27</v>
      </c>
      <c r="M6" s="22" t="s">
        <v>28</v>
      </c>
      <c r="N6" s="22" t="s">
        <v>29</v>
      </c>
    </row>
    <row r="7" ht="18.75" customHeight="1">
      <c r="A7" s="27">
        <v>1.0</v>
      </c>
      <c r="B7" s="25" t="s">
        <v>34</v>
      </c>
      <c r="C7" s="26"/>
      <c r="D7" s="29"/>
      <c r="E7" s="33">
        <v>1.0</v>
      </c>
      <c r="F7" s="32">
        <v>50.0</v>
      </c>
      <c r="G7" s="34">
        <f t="shared" ref="G7:G8" si="1">IF(F7=0,0,F7*$B$4*E7)</f>
        <v>77500</v>
      </c>
      <c r="H7" s="35">
        <f t="shared" ref="H7:H8" si="2">IF(F7=0,0,G7*$D$5)</f>
        <v>7750</v>
      </c>
      <c r="I7" s="36">
        <f t="shared" ref="I7:I8" si="3">IF(F7=0,0,G7+H7)</f>
        <v>85250</v>
      </c>
      <c r="J7" s="37">
        <f t="shared" ref="J7:J8" si="4">$F$4</f>
        <v>0.46</v>
      </c>
      <c r="K7" s="35">
        <f t="shared" ref="K7:K8" si="5">IF(F7=0,0,I7*$J$4)</f>
        <v>4262.5</v>
      </c>
      <c r="L7" s="38">
        <f t="shared" ref="L7:L8" si="6">IF(F7=0,0,I7*(1+$J$7)+K7)</f>
        <v>128727.5</v>
      </c>
      <c r="M7" s="39">
        <f t="shared" ref="M7:M8" si="7">IF(F7=0,0,L7*(1+$D$4))</f>
        <v>155760.275</v>
      </c>
      <c r="N7" s="40">
        <f t="shared" ref="N7:N8" si="8">IF(F7=0,0,L7-I7)</f>
        <v>43477.5</v>
      </c>
    </row>
    <row r="8" ht="18.75" customHeight="1">
      <c r="A8" s="27">
        <v>2.0</v>
      </c>
      <c r="B8" s="25"/>
      <c r="C8" s="26"/>
      <c r="D8" s="29"/>
      <c r="E8" s="33">
        <v>0.0</v>
      </c>
      <c r="F8" s="32">
        <v>0.0</v>
      </c>
      <c r="G8" s="34">
        <f t="shared" si="1"/>
        <v>0</v>
      </c>
      <c r="H8" s="35">
        <f t="shared" si="2"/>
        <v>0</v>
      </c>
      <c r="I8" s="36">
        <f t="shared" si="3"/>
        <v>0</v>
      </c>
      <c r="J8" s="37">
        <f t="shared" si="4"/>
        <v>0.46</v>
      </c>
      <c r="K8" s="35">
        <f t="shared" si="5"/>
        <v>0</v>
      </c>
      <c r="L8" s="38">
        <f t="shared" si="6"/>
        <v>0</v>
      </c>
      <c r="M8" s="39">
        <f t="shared" si="7"/>
        <v>0</v>
      </c>
      <c r="N8" s="40">
        <f t="shared" si="8"/>
        <v>0</v>
      </c>
    </row>
    <row r="9" ht="24.0" customHeight="1">
      <c r="A9" s="41"/>
      <c r="B9" s="42" t="s">
        <v>37</v>
      </c>
      <c r="C9" s="43"/>
      <c r="D9" s="43"/>
      <c r="E9" s="44"/>
      <c r="F9" s="45">
        <f t="shared" ref="F9:I9" si="9">SUM(F7:F8)</f>
        <v>50</v>
      </c>
      <c r="G9" s="46">
        <f t="shared" si="9"/>
        <v>77500</v>
      </c>
      <c r="H9" s="46">
        <f t="shared" si="9"/>
        <v>7750</v>
      </c>
      <c r="I9" s="46">
        <f t="shared" si="9"/>
        <v>85250</v>
      </c>
      <c r="J9" s="47">
        <f>F4</f>
        <v>0.46</v>
      </c>
      <c r="K9" s="46">
        <f t="shared" ref="K9:N9" si="10">SUM(K7:K8)</f>
        <v>4262.5</v>
      </c>
      <c r="L9" s="46">
        <f t="shared" si="10"/>
        <v>128727.5</v>
      </c>
      <c r="M9" s="46">
        <f t="shared" si="10"/>
        <v>155760.275</v>
      </c>
      <c r="N9" s="46">
        <f t="shared" si="10"/>
        <v>43477.5</v>
      </c>
    </row>
    <row r="10" ht="15.75" customHeight="1"/>
    <row r="11" ht="15.75" customHeight="1"/>
    <row r="12" ht="15.75" customHeight="1"/>
    <row r="13" ht="15.75" customHeight="1"/>
    <row r="14">
      <c r="G14" s="48" t="s">
        <v>40</v>
      </c>
      <c r="H14" s="49"/>
      <c r="I14" s="49"/>
      <c r="J14" s="49"/>
      <c r="K14" s="49"/>
      <c r="L14" s="49"/>
      <c r="M14" s="49"/>
      <c r="N14" s="50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G15" s="52" t="s">
        <v>42</v>
      </c>
      <c r="H15" s="49"/>
      <c r="I15" s="49"/>
      <c r="J15" s="49"/>
      <c r="K15" s="49"/>
      <c r="L15" s="49"/>
      <c r="M15" s="49"/>
      <c r="N15" s="50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G16" s="53" t="s">
        <v>43</v>
      </c>
      <c r="H16" s="53" t="s">
        <v>44</v>
      </c>
      <c r="I16" s="54" t="s">
        <v>45</v>
      </c>
      <c r="J16" s="54" t="s">
        <v>46</v>
      </c>
      <c r="K16" s="54" t="s">
        <v>47</v>
      </c>
      <c r="L16" s="54" t="s">
        <v>48</v>
      </c>
      <c r="M16" s="54" t="s">
        <v>50</v>
      </c>
      <c r="N16" s="54" t="s">
        <v>51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G17" s="56">
        <v>2.0</v>
      </c>
      <c r="H17" s="56">
        <v>1.0</v>
      </c>
      <c r="I17" s="57">
        <f t="shared" ref="I17:I19" si="11">IF(G17*H17=0,0,G17*H17*8)</f>
        <v>16</v>
      </c>
      <c r="J17" s="58">
        <v>12.5</v>
      </c>
      <c r="K17" s="59">
        <f t="shared" ref="K17:K19" si="12">IF(I17*J17=0,0,I17*J17)</f>
        <v>200</v>
      </c>
      <c r="L17" s="59">
        <f t="shared" ref="L17:L19" si="13">IF(K17=0,0,K17*(1+$D$4))</f>
        <v>242</v>
      </c>
      <c r="M17" s="60">
        <f t="shared" ref="M17:M19" si="14">IF(K17=0,0,K17*$B$4)</f>
        <v>310000</v>
      </c>
      <c r="N17" s="61">
        <f t="shared" ref="N17:N19" si="15">IF(M17=0,0,M17*(1+$D$4))</f>
        <v>375100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G18" s="62">
        <v>0.0</v>
      </c>
      <c r="H18" s="62">
        <v>0.0</v>
      </c>
      <c r="I18" s="57">
        <f t="shared" si="11"/>
        <v>0</v>
      </c>
      <c r="J18" s="58">
        <v>15.125</v>
      </c>
      <c r="K18" s="59">
        <f t="shared" si="12"/>
        <v>0</v>
      </c>
      <c r="L18" s="59">
        <f t="shared" si="13"/>
        <v>0</v>
      </c>
      <c r="M18" s="60">
        <f t="shared" si="14"/>
        <v>0</v>
      </c>
      <c r="N18" s="61">
        <f t="shared" si="15"/>
        <v>0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G19" s="62">
        <v>0.0</v>
      </c>
      <c r="H19" s="62">
        <v>0.0</v>
      </c>
      <c r="I19" s="57">
        <f t="shared" si="11"/>
        <v>0</v>
      </c>
      <c r="J19" s="58">
        <v>15.125</v>
      </c>
      <c r="K19" s="59">
        <f t="shared" si="12"/>
        <v>0</v>
      </c>
      <c r="L19" s="59">
        <f t="shared" si="13"/>
        <v>0</v>
      </c>
      <c r="M19" s="60">
        <f t="shared" si="14"/>
        <v>0</v>
      </c>
      <c r="N19" s="61">
        <f t="shared" si="15"/>
        <v>0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G20" s="63" t="s">
        <v>56</v>
      </c>
      <c r="H20" s="49"/>
      <c r="I20" s="49"/>
      <c r="J20" s="50"/>
      <c r="K20" s="64">
        <f t="shared" ref="K20:N20" si="16">SUM(K17:K19)</f>
        <v>200</v>
      </c>
      <c r="L20" s="65">
        <f t="shared" si="16"/>
        <v>242</v>
      </c>
      <c r="M20" s="65">
        <f t="shared" si="16"/>
        <v>310000</v>
      </c>
      <c r="N20" s="65">
        <f t="shared" si="16"/>
        <v>375100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66" t="s">
        <v>59</v>
      </c>
      <c r="H22" s="49"/>
      <c r="I22" s="49"/>
      <c r="J22" s="49"/>
      <c r="K22" s="49"/>
      <c r="L22" s="49"/>
      <c r="M22" s="49"/>
      <c r="N22" s="50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67" t="s">
        <v>60</v>
      </c>
      <c r="H23" s="68" t="s">
        <v>61</v>
      </c>
      <c r="I23" s="68" t="s">
        <v>62</v>
      </c>
      <c r="J23" s="67" t="s">
        <v>63</v>
      </c>
      <c r="K23" s="68" t="s">
        <v>47</v>
      </c>
      <c r="L23" s="68" t="s">
        <v>48</v>
      </c>
      <c r="M23" s="68" t="s">
        <v>50</v>
      </c>
      <c r="N23" s="68" t="s">
        <v>51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6">
        <v>0.0</v>
      </c>
      <c r="H24" s="56">
        <f t="shared" ref="H24:H26" si="17">G24</f>
        <v>0</v>
      </c>
      <c r="I24" s="69">
        <f t="shared" ref="I24:I26" si="18">IF(G24*2=0,0,G24*2)</f>
        <v>0</v>
      </c>
      <c r="J24" s="58">
        <v>1.331</v>
      </c>
      <c r="K24" s="70">
        <f t="shared" ref="K24:K26" si="19">IF(I24*J24=0,0,I24*J24)</f>
        <v>0</v>
      </c>
      <c r="L24" s="71">
        <f t="shared" ref="L24:L26" si="20">IF(K24=0,0,K24*$B$4*(1+$D$4))</f>
        <v>0</v>
      </c>
      <c r="M24" s="72">
        <f t="shared" ref="M24:M26" si="21">IF(K24=0,0,K24*$B$4)</f>
        <v>0</v>
      </c>
      <c r="N24" s="73">
        <f t="shared" ref="N24:N26" si="22">IF(M24=0,0,M24*(1+$D$4))</f>
        <v>0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62">
        <v>0.0</v>
      </c>
      <c r="H25" s="56">
        <f t="shared" si="17"/>
        <v>0</v>
      </c>
      <c r="I25" s="69">
        <f t="shared" si="18"/>
        <v>0</v>
      </c>
      <c r="J25" s="58">
        <v>1.331</v>
      </c>
      <c r="K25" s="70">
        <f t="shared" si="19"/>
        <v>0</v>
      </c>
      <c r="L25" s="71">
        <f t="shared" si="20"/>
        <v>0</v>
      </c>
      <c r="M25" s="72">
        <f t="shared" si="21"/>
        <v>0</v>
      </c>
      <c r="N25" s="73">
        <f t="shared" si="22"/>
        <v>0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G26" s="62">
        <v>0.0</v>
      </c>
      <c r="H26" s="56">
        <f t="shared" si="17"/>
        <v>0</v>
      </c>
      <c r="I26" s="69">
        <f t="shared" si="18"/>
        <v>0</v>
      </c>
      <c r="J26" s="58">
        <v>1.331</v>
      </c>
      <c r="K26" s="70">
        <f t="shared" si="19"/>
        <v>0</v>
      </c>
      <c r="L26" s="71">
        <f t="shared" si="20"/>
        <v>0</v>
      </c>
      <c r="M26" s="72">
        <f t="shared" si="21"/>
        <v>0</v>
      </c>
      <c r="N26" s="73">
        <f t="shared" si="22"/>
        <v>0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G27" s="74" t="s">
        <v>69</v>
      </c>
      <c r="H27" s="49"/>
      <c r="I27" s="49"/>
      <c r="J27" s="50"/>
      <c r="K27" s="76">
        <f t="shared" ref="K27:N27" si="23">SUM(K24:K26)</f>
        <v>0</v>
      </c>
      <c r="L27" s="78">
        <f t="shared" si="23"/>
        <v>0</v>
      </c>
      <c r="M27" s="78">
        <f t="shared" si="23"/>
        <v>0</v>
      </c>
      <c r="N27" s="78">
        <f t="shared" si="23"/>
        <v>0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/>
    <row r="30" ht="15.75" customHeight="1"/>
    <row r="31" ht="16.5" customHeight="1">
      <c r="A31" s="48" t="s">
        <v>76</v>
      </c>
      <c r="B31" s="49"/>
      <c r="C31" s="49"/>
      <c r="D31" s="50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6.5" customHeight="1">
      <c r="A32" s="52" t="s">
        <v>77</v>
      </c>
      <c r="B32" s="49"/>
      <c r="C32" s="49"/>
      <c r="D32" s="50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26.25" customHeight="1">
      <c r="A33" s="54" t="s">
        <v>16</v>
      </c>
      <c r="B33" s="54" t="s">
        <v>79</v>
      </c>
      <c r="C33" s="54" t="s">
        <v>27</v>
      </c>
      <c r="D33" s="54" t="s">
        <v>28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6.5" customHeight="1">
      <c r="A34" s="90">
        <v>1.0</v>
      </c>
      <c r="B34" s="90" t="s">
        <v>81</v>
      </c>
      <c r="C34" s="91">
        <f t="shared" ref="C34:D34" si="24">L9</f>
        <v>128727.5</v>
      </c>
      <c r="D34" s="91">
        <f t="shared" si="24"/>
        <v>155760.275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6.5" customHeight="1">
      <c r="A35" s="90">
        <v>2.0</v>
      </c>
      <c r="B35" s="90" t="s">
        <v>42</v>
      </c>
      <c r="C35" s="91">
        <f t="shared" ref="C35:D35" si="25">M20</f>
        <v>310000</v>
      </c>
      <c r="D35" s="91">
        <f t="shared" si="25"/>
        <v>375100</v>
      </c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6.5" customHeight="1">
      <c r="A36" s="90">
        <v>3.0</v>
      </c>
      <c r="B36" s="90" t="s">
        <v>59</v>
      </c>
      <c r="C36" s="91">
        <f t="shared" ref="C36:D36" si="26">M27</f>
        <v>0</v>
      </c>
      <c r="D36" s="91">
        <f t="shared" si="26"/>
        <v>0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6.5" customHeight="1">
      <c r="A37" s="94" t="s">
        <v>84</v>
      </c>
      <c r="B37" s="50"/>
      <c r="C37" s="65">
        <f t="shared" ref="C37:D37" si="27">SUM(C34:C36)</f>
        <v>438727.5</v>
      </c>
      <c r="D37" s="65">
        <f t="shared" si="27"/>
        <v>530860.275</v>
      </c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2">
    <mergeCell ref="G20:J20"/>
    <mergeCell ref="G27:J27"/>
    <mergeCell ref="A31:D31"/>
    <mergeCell ref="A32:D32"/>
    <mergeCell ref="A37:B37"/>
    <mergeCell ref="A1:N1"/>
    <mergeCell ref="A2:N2"/>
    <mergeCell ref="A3:N3"/>
    <mergeCell ref="K4:N5"/>
    <mergeCell ref="G14:N14"/>
    <mergeCell ref="G15:N15"/>
    <mergeCell ref="G22:N22"/>
  </mergeCells>
  <conditionalFormatting sqref="J7:J8">
    <cfRule type="cellIs" dxfId="0" priority="1" operator="lessThan">
      <formula>$H$4</formula>
    </cfRule>
  </conditionalFormatting>
  <conditionalFormatting sqref="J7:J8">
    <cfRule type="cellIs" dxfId="1" priority="2" operator="greaterThanOrEqual">
      <formula>$F$4</formula>
    </cfRule>
  </conditionalFormatting>
  <conditionalFormatting sqref="J7:J8">
    <cfRule type="cellIs" dxfId="2" priority="3" operator="between">
      <formula>$H$4</formula>
      <formula>$F$4</formula>
    </cfRule>
  </conditionalFormatting>
  <dataValidations>
    <dataValidation type="list" allowBlank="1" sqref="D7:D8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92.86"/>
    <col customWidth="1" min="3" max="3" width="22.43"/>
    <col customWidth="1" min="4" max="4" width="20.43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8.29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0.46</v>
      </c>
      <c r="G4" s="8" t="s">
        <v>6</v>
      </c>
      <c r="H4" s="9">
        <v>0.3</v>
      </c>
      <c r="I4" s="6" t="s">
        <v>7</v>
      </c>
      <c r="J4" s="11">
        <v>0.05</v>
      </c>
      <c r="K4" s="13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0.1</v>
      </c>
      <c r="E5" s="6" t="s">
        <v>12</v>
      </c>
      <c r="F5" s="16">
        <v>12.0</v>
      </c>
      <c r="G5" s="8" t="s">
        <v>14</v>
      </c>
      <c r="H5" s="16">
        <v>0.0</v>
      </c>
      <c r="I5" s="6" t="s">
        <v>15</v>
      </c>
      <c r="J5" s="16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2" t="s">
        <v>24</v>
      </c>
      <c r="J6" s="22" t="s">
        <v>26</v>
      </c>
      <c r="K6" s="24" t="s">
        <v>30</v>
      </c>
      <c r="L6" s="22" t="s">
        <v>27</v>
      </c>
      <c r="M6" s="22" t="s">
        <v>28</v>
      </c>
      <c r="N6" s="22" t="s">
        <v>29</v>
      </c>
    </row>
    <row r="7" ht="18.75" customHeight="1">
      <c r="A7" s="27"/>
      <c r="B7" s="99" t="s">
        <v>33</v>
      </c>
      <c r="C7" s="26"/>
      <c r="D7" s="100" t="s">
        <v>99</v>
      </c>
      <c r="E7" s="33"/>
      <c r="F7" s="32"/>
      <c r="G7" s="34"/>
      <c r="H7" s="35"/>
      <c r="I7" s="36"/>
      <c r="J7" s="37"/>
      <c r="K7" s="35"/>
      <c r="L7" s="38"/>
      <c r="M7" s="39"/>
      <c r="N7" s="40"/>
    </row>
    <row r="8" ht="18.75" customHeight="1">
      <c r="A8" s="27"/>
      <c r="B8" s="25" t="s">
        <v>100</v>
      </c>
      <c r="C8" s="26" t="s">
        <v>101</v>
      </c>
      <c r="D8" s="100" t="s">
        <v>99</v>
      </c>
      <c r="E8" s="33">
        <v>0.0</v>
      </c>
      <c r="F8" s="32">
        <v>116.16</v>
      </c>
      <c r="G8" s="34">
        <f t="shared" ref="G8:G19" si="1">IF(F8=0,0,F8*$B$4*E8)</f>
        <v>0</v>
      </c>
      <c r="H8" s="35">
        <f t="shared" ref="H8:H19" si="2">IF(F8=0,0,G8*$D$5)</f>
        <v>0</v>
      </c>
      <c r="I8" s="36">
        <f t="shared" ref="I8:I19" si="3">IF(F8=0,0,G8+H8)</f>
        <v>0</v>
      </c>
      <c r="J8" s="37">
        <f t="shared" ref="J8:J19" si="4">$F$4</f>
        <v>0.46</v>
      </c>
      <c r="K8" s="35">
        <f t="shared" ref="K8:K19" si="5">IF(F8=0,0,I8*$J$4)</f>
        <v>0</v>
      </c>
      <c r="L8" s="38">
        <f t="shared" ref="L8:L19" si="6">IF(F8=0,0,I8*(1+$J$7)+K8)</f>
        <v>0</v>
      </c>
      <c r="M8" s="39">
        <f t="shared" ref="M8:M19" si="7">IF(F8=0,0,L8*(1+$D$4))</f>
        <v>0</v>
      </c>
      <c r="N8" s="40">
        <f t="shared" ref="N8:N19" si="8">IF(F8=0,0,L8-I8)</f>
        <v>0</v>
      </c>
    </row>
    <row r="9" ht="18.75" customHeight="1">
      <c r="A9" s="27"/>
      <c r="B9" s="25" t="s">
        <v>102</v>
      </c>
      <c r="C9" s="26" t="s">
        <v>101</v>
      </c>
      <c r="D9" s="100" t="s">
        <v>99</v>
      </c>
      <c r="E9" s="33">
        <v>0.0</v>
      </c>
      <c r="F9" s="32">
        <v>43.82</v>
      </c>
      <c r="G9" s="34">
        <f t="shared" si="1"/>
        <v>0</v>
      </c>
      <c r="H9" s="35">
        <f t="shared" si="2"/>
        <v>0</v>
      </c>
      <c r="I9" s="36">
        <f t="shared" si="3"/>
        <v>0</v>
      </c>
      <c r="J9" s="37">
        <f t="shared" si="4"/>
        <v>0.46</v>
      </c>
      <c r="K9" s="35">
        <f t="shared" si="5"/>
        <v>0</v>
      </c>
      <c r="L9" s="38">
        <f t="shared" si="6"/>
        <v>0</v>
      </c>
      <c r="M9" s="39">
        <f t="shared" si="7"/>
        <v>0</v>
      </c>
      <c r="N9" s="40">
        <f t="shared" si="8"/>
        <v>0</v>
      </c>
    </row>
    <row r="10" ht="18.75" customHeight="1">
      <c r="A10" s="27"/>
      <c r="B10" s="25" t="s">
        <v>39</v>
      </c>
      <c r="C10" s="26"/>
      <c r="D10" s="100" t="s">
        <v>99</v>
      </c>
      <c r="E10" s="33">
        <v>0.0</v>
      </c>
      <c r="F10" s="32">
        <v>0.0</v>
      </c>
      <c r="G10" s="34">
        <f t="shared" si="1"/>
        <v>0</v>
      </c>
      <c r="H10" s="35">
        <f t="shared" si="2"/>
        <v>0</v>
      </c>
      <c r="I10" s="36">
        <f t="shared" si="3"/>
        <v>0</v>
      </c>
      <c r="J10" s="37">
        <f t="shared" si="4"/>
        <v>0.46</v>
      </c>
      <c r="K10" s="35">
        <f t="shared" si="5"/>
        <v>0</v>
      </c>
      <c r="L10" s="38">
        <f t="shared" si="6"/>
        <v>0</v>
      </c>
      <c r="M10" s="39">
        <f t="shared" si="7"/>
        <v>0</v>
      </c>
      <c r="N10" s="40">
        <f t="shared" si="8"/>
        <v>0</v>
      </c>
    </row>
    <row r="11" ht="18.75" customHeight="1">
      <c r="A11" s="27"/>
      <c r="B11" s="25" t="s">
        <v>103</v>
      </c>
      <c r="C11" s="26" t="s">
        <v>101</v>
      </c>
      <c r="D11" s="100" t="s">
        <v>99</v>
      </c>
      <c r="E11" s="33">
        <v>0.0</v>
      </c>
      <c r="F11" s="32">
        <v>111.12</v>
      </c>
      <c r="G11" s="34">
        <f t="shared" si="1"/>
        <v>0</v>
      </c>
      <c r="H11" s="35">
        <f t="shared" si="2"/>
        <v>0</v>
      </c>
      <c r="I11" s="36">
        <f t="shared" si="3"/>
        <v>0</v>
      </c>
      <c r="J11" s="37">
        <f t="shared" si="4"/>
        <v>0.46</v>
      </c>
      <c r="K11" s="35">
        <f t="shared" si="5"/>
        <v>0</v>
      </c>
      <c r="L11" s="38">
        <f t="shared" si="6"/>
        <v>0</v>
      </c>
      <c r="M11" s="39">
        <f t="shared" si="7"/>
        <v>0</v>
      </c>
      <c r="N11" s="40">
        <f t="shared" si="8"/>
        <v>0</v>
      </c>
    </row>
    <row r="12" ht="18.75" customHeight="1">
      <c r="A12" s="27"/>
      <c r="B12" s="25" t="s">
        <v>104</v>
      </c>
      <c r="C12" s="26" t="s">
        <v>101</v>
      </c>
      <c r="D12" s="100" t="s">
        <v>99</v>
      </c>
      <c r="E12" s="33">
        <v>0.0</v>
      </c>
      <c r="F12" s="32">
        <v>37.04</v>
      </c>
      <c r="G12" s="34">
        <f t="shared" si="1"/>
        <v>0</v>
      </c>
      <c r="H12" s="35">
        <f t="shared" si="2"/>
        <v>0</v>
      </c>
      <c r="I12" s="36">
        <f t="shared" si="3"/>
        <v>0</v>
      </c>
      <c r="J12" s="37">
        <f t="shared" si="4"/>
        <v>0.46</v>
      </c>
      <c r="K12" s="35">
        <f t="shared" si="5"/>
        <v>0</v>
      </c>
      <c r="L12" s="38">
        <f t="shared" si="6"/>
        <v>0</v>
      </c>
      <c r="M12" s="39">
        <f t="shared" si="7"/>
        <v>0</v>
      </c>
      <c r="N12" s="40">
        <f t="shared" si="8"/>
        <v>0</v>
      </c>
    </row>
    <row r="13" ht="18.75" customHeight="1">
      <c r="A13" s="27"/>
      <c r="B13" s="25" t="s">
        <v>105</v>
      </c>
      <c r="C13" s="26" t="s">
        <v>101</v>
      </c>
      <c r="D13" s="100" t="s">
        <v>99</v>
      </c>
      <c r="E13" s="33">
        <v>0.0</v>
      </c>
      <c r="F13" s="32">
        <v>12.69</v>
      </c>
      <c r="G13" s="34">
        <f t="shared" si="1"/>
        <v>0</v>
      </c>
      <c r="H13" s="35">
        <f t="shared" si="2"/>
        <v>0</v>
      </c>
      <c r="I13" s="36">
        <f t="shared" si="3"/>
        <v>0</v>
      </c>
      <c r="J13" s="37">
        <f t="shared" si="4"/>
        <v>0.46</v>
      </c>
      <c r="K13" s="35">
        <f t="shared" si="5"/>
        <v>0</v>
      </c>
      <c r="L13" s="38">
        <f t="shared" si="6"/>
        <v>0</v>
      </c>
      <c r="M13" s="39">
        <f t="shared" si="7"/>
        <v>0</v>
      </c>
      <c r="N13" s="40">
        <f t="shared" si="8"/>
        <v>0</v>
      </c>
    </row>
    <row r="14" ht="18.75" customHeight="1">
      <c r="A14" s="27"/>
      <c r="B14" s="25" t="s">
        <v>106</v>
      </c>
      <c r="C14" s="26" t="s">
        <v>101</v>
      </c>
      <c r="D14" s="100" t="s">
        <v>99</v>
      </c>
      <c r="E14" s="33">
        <v>0.0</v>
      </c>
      <c r="F14" s="32">
        <v>32.27</v>
      </c>
      <c r="G14" s="34">
        <f t="shared" si="1"/>
        <v>0</v>
      </c>
      <c r="H14" s="35">
        <f t="shared" si="2"/>
        <v>0</v>
      </c>
      <c r="I14" s="36">
        <f t="shared" si="3"/>
        <v>0</v>
      </c>
      <c r="J14" s="37">
        <f t="shared" si="4"/>
        <v>0.46</v>
      </c>
      <c r="K14" s="35">
        <f t="shared" si="5"/>
        <v>0</v>
      </c>
      <c r="L14" s="38">
        <f t="shared" si="6"/>
        <v>0</v>
      </c>
      <c r="M14" s="39">
        <f t="shared" si="7"/>
        <v>0</v>
      </c>
      <c r="N14" s="40">
        <f t="shared" si="8"/>
        <v>0</v>
      </c>
    </row>
    <row r="15" ht="18.75" customHeight="1">
      <c r="A15" s="27"/>
      <c r="B15" s="25" t="s">
        <v>107</v>
      </c>
      <c r="C15" s="26" t="s">
        <v>101</v>
      </c>
      <c r="D15" s="100" t="s">
        <v>99</v>
      </c>
      <c r="E15" s="33">
        <v>0.0</v>
      </c>
      <c r="F15" s="32">
        <v>78.44</v>
      </c>
      <c r="G15" s="34">
        <f t="shared" si="1"/>
        <v>0</v>
      </c>
      <c r="H15" s="35">
        <f t="shared" si="2"/>
        <v>0</v>
      </c>
      <c r="I15" s="36">
        <f t="shared" si="3"/>
        <v>0</v>
      </c>
      <c r="J15" s="37">
        <f t="shared" si="4"/>
        <v>0.46</v>
      </c>
      <c r="K15" s="35">
        <f t="shared" si="5"/>
        <v>0</v>
      </c>
      <c r="L15" s="38">
        <f t="shared" si="6"/>
        <v>0</v>
      </c>
      <c r="M15" s="39">
        <f t="shared" si="7"/>
        <v>0</v>
      </c>
      <c r="N15" s="40">
        <f t="shared" si="8"/>
        <v>0</v>
      </c>
    </row>
    <row r="16" ht="18.75" customHeight="1">
      <c r="A16" s="27"/>
      <c r="B16" s="25" t="s">
        <v>108</v>
      </c>
      <c r="C16" s="26" t="s">
        <v>101</v>
      </c>
      <c r="D16" s="100" t="s">
        <v>99</v>
      </c>
      <c r="E16" s="33">
        <v>0.0</v>
      </c>
      <c r="F16" s="32">
        <v>34.88</v>
      </c>
      <c r="G16" s="34">
        <f t="shared" si="1"/>
        <v>0</v>
      </c>
      <c r="H16" s="35">
        <f t="shared" si="2"/>
        <v>0</v>
      </c>
      <c r="I16" s="36">
        <f t="shared" si="3"/>
        <v>0</v>
      </c>
      <c r="J16" s="37">
        <f t="shared" si="4"/>
        <v>0.46</v>
      </c>
      <c r="K16" s="35">
        <f t="shared" si="5"/>
        <v>0</v>
      </c>
      <c r="L16" s="38">
        <f t="shared" si="6"/>
        <v>0</v>
      </c>
      <c r="M16" s="39">
        <f t="shared" si="7"/>
        <v>0</v>
      </c>
      <c r="N16" s="40">
        <f t="shared" si="8"/>
        <v>0</v>
      </c>
    </row>
    <row r="17" ht="18.75" customHeight="1">
      <c r="A17" s="27"/>
      <c r="B17" s="25" t="s">
        <v>109</v>
      </c>
      <c r="C17" s="26" t="s">
        <v>101</v>
      </c>
      <c r="D17" s="100" t="s">
        <v>99</v>
      </c>
      <c r="E17" s="33">
        <v>0.0</v>
      </c>
      <c r="F17" s="32">
        <v>43.61</v>
      </c>
      <c r="G17" s="34">
        <f t="shared" si="1"/>
        <v>0</v>
      </c>
      <c r="H17" s="35">
        <f t="shared" si="2"/>
        <v>0</v>
      </c>
      <c r="I17" s="36">
        <f t="shared" si="3"/>
        <v>0</v>
      </c>
      <c r="J17" s="37">
        <f t="shared" si="4"/>
        <v>0.46</v>
      </c>
      <c r="K17" s="35">
        <f t="shared" si="5"/>
        <v>0</v>
      </c>
      <c r="L17" s="38">
        <f t="shared" si="6"/>
        <v>0</v>
      </c>
      <c r="M17" s="39">
        <f t="shared" si="7"/>
        <v>0</v>
      </c>
      <c r="N17" s="40">
        <f t="shared" si="8"/>
        <v>0</v>
      </c>
    </row>
    <row r="18" ht="18.75" customHeight="1">
      <c r="A18" s="27"/>
      <c r="B18" s="25" t="s">
        <v>110</v>
      </c>
      <c r="C18" s="26" t="s">
        <v>101</v>
      </c>
      <c r="D18" s="100" t="s">
        <v>99</v>
      </c>
      <c r="E18" s="33">
        <v>0.0</v>
      </c>
      <c r="F18" s="32">
        <v>12.15</v>
      </c>
      <c r="G18" s="34">
        <f t="shared" si="1"/>
        <v>0</v>
      </c>
      <c r="H18" s="35">
        <f t="shared" si="2"/>
        <v>0</v>
      </c>
      <c r="I18" s="36">
        <f t="shared" si="3"/>
        <v>0</v>
      </c>
      <c r="J18" s="37">
        <f t="shared" si="4"/>
        <v>0.46</v>
      </c>
      <c r="K18" s="35">
        <f t="shared" si="5"/>
        <v>0</v>
      </c>
      <c r="L18" s="38">
        <f t="shared" si="6"/>
        <v>0</v>
      </c>
      <c r="M18" s="39">
        <f t="shared" si="7"/>
        <v>0</v>
      </c>
      <c r="N18" s="40">
        <f t="shared" si="8"/>
        <v>0</v>
      </c>
    </row>
    <row r="19" ht="18.75" customHeight="1">
      <c r="A19" s="27"/>
      <c r="B19" s="25" t="s">
        <v>111</v>
      </c>
      <c r="C19" s="26" t="s">
        <v>101</v>
      </c>
      <c r="D19" s="100" t="s">
        <v>99</v>
      </c>
      <c r="E19" s="33">
        <v>0.0</v>
      </c>
      <c r="F19" s="32">
        <v>124.77</v>
      </c>
      <c r="G19" s="34">
        <f t="shared" si="1"/>
        <v>0</v>
      </c>
      <c r="H19" s="35">
        <f t="shared" si="2"/>
        <v>0</v>
      </c>
      <c r="I19" s="36">
        <f t="shared" si="3"/>
        <v>0</v>
      </c>
      <c r="J19" s="37">
        <f t="shared" si="4"/>
        <v>0.46</v>
      </c>
      <c r="K19" s="35">
        <f t="shared" si="5"/>
        <v>0</v>
      </c>
      <c r="L19" s="38">
        <f t="shared" si="6"/>
        <v>0</v>
      </c>
      <c r="M19" s="39">
        <f t="shared" si="7"/>
        <v>0</v>
      </c>
      <c r="N19" s="40">
        <f t="shared" si="8"/>
        <v>0</v>
      </c>
    </row>
    <row r="20" ht="18.75" customHeight="1">
      <c r="A20" s="27"/>
      <c r="B20" s="99" t="s">
        <v>58</v>
      </c>
      <c r="C20" s="26"/>
      <c r="D20" s="100" t="s">
        <v>99</v>
      </c>
      <c r="E20" s="33">
        <v>0.0</v>
      </c>
      <c r="F20" s="55"/>
      <c r="G20" s="34"/>
      <c r="H20" s="35"/>
      <c r="I20" s="36"/>
      <c r="J20" s="37"/>
      <c r="K20" s="35"/>
      <c r="L20" s="38"/>
      <c r="M20" s="39"/>
      <c r="N20" s="40"/>
    </row>
    <row r="21" ht="18.75" customHeight="1">
      <c r="A21" s="27"/>
      <c r="B21" s="25" t="s">
        <v>112</v>
      </c>
      <c r="C21" s="26" t="s">
        <v>101</v>
      </c>
      <c r="D21" s="100" t="s">
        <v>99</v>
      </c>
      <c r="E21" s="33">
        <v>0.0</v>
      </c>
      <c r="F21" s="32">
        <v>13.6</v>
      </c>
      <c r="G21" s="34">
        <f t="shared" ref="G21:G30" si="9">IF(F21=0,0,F21*$B$4*E21)</f>
        <v>0</v>
      </c>
      <c r="H21" s="35">
        <f t="shared" ref="H21:H30" si="10">IF(F21=0,0,G21*$D$5)</f>
        <v>0</v>
      </c>
      <c r="I21" s="36">
        <f t="shared" ref="I21:I30" si="11">IF(F21=0,0,G21+H21)</f>
        <v>0</v>
      </c>
      <c r="J21" s="37">
        <f t="shared" ref="J21:J30" si="12">$F$4</f>
        <v>0.46</v>
      </c>
      <c r="K21" s="35">
        <f t="shared" ref="K21:K30" si="13">IF(F21=0,0,I21*$J$4)</f>
        <v>0</v>
      </c>
      <c r="L21" s="38">
        <f t="shared" ref="L21:L30" si="14">IF(F21=0,0,I21*(1+$J$7)+K21)</f>
        <v>0</v>
      </c>
      <c r="M21" s="39">
        <f t="shared" ref="M21:M30" si="15">IF(F21=0,0,L21*(1+$D$4))</f>
        <v>0</v>
      </c>
      <c r="N21" s="40">
        <f t="shared" ref="N21:N30" si="16">IF(F21=0,0,L21-I21)</f>
        <v>0</v>
      </c>
    </row>
    <row r="22" ht="18.75" customHeight="1">
      <c r="A22" s="27"/>
      <c r="B22" s="25" t="s">
        <v>113</v>
      </c>
      <c r="C22" s="26" t="s">
        <v>101</v>
      </c>
      <c r="D22" s="100" t="s">
        <v>99</v>
      </c>
      <c r="E22" s="33">
        <v>0.0</v>
      </c>
      <c r="F22" s="32">
        <v>17.82</v>
      </c>
      <c r="G22" s="34">
        <f t="shared" si="9"/>
        <v>0</v>
      </c>
      <c r="H22" s="35">
        <f t="shared" si="10"/>
        <v>0</v>
      </c>
      <c r="I22" s="36">
        <f t="shared" si="11"/>
        <v>0</v>
      </c>
      <c r="J22" s="37">
        <f t="shared" si="12"/>
        <v>0.46</v>
      </c>
      <c r="K22" s="35">
        <f t="shared" si="13"/>
        <v>0</v>
      </c>
      <c r="L22" s="38">
        <f t="shared" si="14"/>
        <v>0</v>
      </c>
      <c r="M22" s="39">
        <f t="shared" si="15"/>
        <v>0</v>
      </c>
      <c r="N22" s="40">
        <f t="shared" si="16"/>
        <v>0</v>
      </c>
    </row>
    <row r="23" ht="18.75" customHeight="1">
      <c r="A23" s="27"/>
      <c r="B23" s="25" t="s">
        <v>114</v>
      </c>
      <c r="C23" s="26" t="s">
        <v>101</v>
      </c>
      <c r="D23" s="100" t="s">
        <v>99</v>
      </c>
      <c r="E23" s="33">
        <v>0.0</v>
      </c>
      <c r="F23" s="32">
        <v>30.29</v>
      </c>
      <c r="G23" s="34">
        <f t="shared" si="9"/>
        <v>0</v>
      </c>
      <c r="H23" s="35">
        <f t="shared" si="10"/>
        <v>0</v>
      </c>
      <c r="I23" s="36">
        <f t="shared" si="11"/>
        <v>0</v>
      </c>
      <c r="J23" s="37">
        <f t="shared" si="12"/>
        <v>0.46</v>
      </c>
      <c r="K23" s="35">
        <f t="shared" si="13"/>
        <v>0</v>
      </c>
      <c r="L23" s="38">
        <f t="shared" si="14"/>
        <v>0</v>
      </c>
      <c r="M23" s="39">
        <f t="shared" si="15"/>
        <v>0</v>
      </c>
      <c r="N23" s="40">
        <f t="shared" si="16"/>
        <v>0</v>
      </c>
    </row>
    <row r="24" ht="18.75" customHeight="1">
      <c r="A24" s="27"/>
      <c r="B24" s="25" t="s">
        <v>115</v>
      </c>
      <c r="C24" s="26" t="s">
        <v>101</v>
      </c>
      <c r="D24" s="100" t="s">
        <v>99</v>
      </c>
      <c r="E24" s="33">
        <v>0.0</v>
      </c>
      <c r="F24" s="32">
        <v>14.04</v>
      </c>
      <c r="G24" s="34">
        <f t="shared" si="9"/>
        <v>0</v>
      </c>
      <c r="H24" s="35">
        <f t="shared" si="10"/>
        <v>0</v>
      </c>
      <c r="I24" s="36">
        <f t="shared" si="11"/>
        <v>0</v>
      </c>
      <c r="J24" s="37">
        <f t="shared" si="12"/>
        <v>0.46</v>
      </c>
      <c r="K24" s="35">
        <f t="shared" si="13"/>
        <v>0</v>
      </c>
      <c r="L24" s="38">
        <f t="shared" si="14"/>
        <v>0</v>
      </c>
      <c r="M24" s="39">
        <f t="shared" si="15"/>
        <v>0</v>
      </c>
      <c r="N24" s="40">
        <f t="shared" si="16"/>
        <v>0</v>
      </c>
    </row>
    <row r="25" ht="18.75" customHeight="1">
      <c r="A25" s="27"/>
      <c r="B25" s="99" t="s">
        <v>68</v>
      </c>
      <c r="C25" s="26"/>
      <c r="D25" s="100" t="s">
        <v>99</v>
      </c>
      <c r="E25" s="33">
        <v>0.0</v>
      </c>
      <c r="F25" s="55">
        <v>0.0</v>
      </c>
      <c r="G25" s="34">
        <f t="shared" si="9"/>
        <v>0</v>
      </c>
      <c r="H25" s="35">
        <f t="shared" si="10"/>
        <v>0</v>
      </c>
      <c r="I25" s="36">
        <f t="shared" si="11"/>
        <v>0</v>
      </c>
      <c r="J25" s="37">
        <f t="shared" si="12"/>
        <v>0.46</v>
      </c>
      <c r="K25" s="35">
        <f t="shared" si="13"/>
        <v>0</v>
      </c>
      <c r="L25" s="38">
        <f t="shared" si="14"/>
        <v>0</v>
      </c>
      <c r="M25" s="39">
        <f t="shared" si="15"/>
        <v>0</v>
      </c>
      <c r="N25" s="40">
        <f t="shared" si="16"/>
        <v>0</v>
      </c>
    </row>
    <row r="26" ht="18.75" customHeight="1">
      <c r="A26" s="27"/>
      <c r="B26" s="25" t="s">
        <v>119</v>
      </c>
      <c r="C26" s="26" t="s">
        <v>101</v>
      </c>
      <c r="D26" s="100" t="s">
        <v>99</v>
      </c>
      <c r="E26" s="33">
        <v>0.0</v>
      </c>
      <c r="F26" s="32">
        <v>5.45</v>
      </c>
      <c r="G26" s="34">
        <f t="shared" si="9"/>
        <v>0</v>
      </c>
      <c r="H26" s="35">
        <f t="shared" si="10"/>
        <v>0</v>
      </c>
      <c r="I26" s="36">
        <f t="shared" si="11"/>
        <v>0</v>
      </c>
      <c r="J26" s="37">
        <f t="shared" si="12"/>
        <v>0.46</v>
      </c>
      <c r="K26" s="35">
        <f t="shared" si="13"/>
        <v>0</v>
      </c>
      <c r="L26" s="38">
        <f t="shared" si="14"/>
        <v>0</v>
      </c>
      <c r="M26" s="39">
        <f t="shared" si="15"/>
        <v>0</v>
      </c>
      <c r="N26" s="40">
        <f t="shared" si="16"/>
        <v>0</v>
      </c>
    </row>
    <row r="27" ht="18.75" customHeight="1">
      <c r="A27" s="27"/>
      <c r="B27" s="25" t="s">
        <v>124</v>
      </c>
      <c r="C27" s="26" t="s">
        <v>101</v>
      </c>
      <c r="D27" s="100" t="s">
        <v>99</v>
      </c>
      <c r="E27" s="33">
        <v>0.0</v>
      </c>
      <c r="F27" s="32">
        <v>29.4</v>
      </c>
      <c r="G27" s="34">
        <f t="shared" si="9"/>
        <v>0</v>
      </c>
      <c r="H27" s="35">
        <f t="shared" si="10"/>
        <v>0</v>
      </c>
      <c r="I27" s="36">
        <f t="shared" si="11"/>
        <v>0</v>
      </c>
      <c r="J27" s="37">
        <f t="shared" si="12"/>
        <v>0.46</v>
      </c>
      <c r="K27" s="35">
        <f t="shared" si="13"/>
        <v>0</v>
      </c>
      <c r="L27" s="38">
        <f t="shared" si="14"/>
        <v>0</v>
      </c>
      <c r="M27" s="39">
        <f t="shared" si="15"/>
        <v>0</v>
      </c>
      <c r="N27" s="40">
        <f t="shared" si="16"/>
        <v>0</v>
      </c>
    </row>
    <row r="28" ht="18.75" customHeight="1">
      <c r="A28" s="27"/>
      <c r="B28" s="99" t="s">
        <v>75</v>
      </c>
      <c r="C28" s="26"/>
      <c r="D28" s="100" t="s">
        <v>99</v>
      </c>
      <c r="E28" s="33">
        <v>0.0</v>
      </c>
      <c r="F28" s="55">
        <v>0.0</v>
      </c>
      <c r="G28" s="34">
        <f t="shared" si="9"/>
        <v>0</v>
      </c>
      <c r="H28" s="35">
        <f t="shared" si="10"/>
        <v>0</v>
      </c>
      <c r="I28" s="36">
        <f t="shared" si="11"/>
        <v>0</v>
      </c>
      <c r="J28" s="37">
        <f t="shared" si="12"/>
        <v>0.46</v>
      </c>
      <c r="K28" s="35">
        <f t="shared" si="13"/>
        <v>0</v>
      </c>
      <c r="L28" s="38">
        <f t="shared" si="14"/>
        <v>0</v>
      </c>
      <c r="M28" s="39">
        <f t="shared" si="15"/>
        <v>0</v>
      </c>
      <c r="N28" s="40">
        <f t="shared" si="16"/>
        <v>0</v>
      </c>
    </row>
    <row r="29" ht="18.75" customHeight="1">
      <c r="A29" s="27"/>
      <c r="B29" s="25" t="s">
        <v>130</v>
      </c>
      <c r="C29" s="26" t="s">
        <v>101</v>
      </c>
      <c r="D29" s="100" t="s">
        <v>99</v>
      </c>
      <c r="E29" s="33">
        <v>0.0</v>
      </c>
      <c r="F29" s="32">
        <v>159.84</v>
      </c>
      <c r="G29" s="34">
        <f t="shared" si="9"/>
        <v>0</v>
      </c>
      <c r="H29" s="35">
        <f t="shared" si="10"/>
        <v>0</v>
      </c>
      <c r="I29" s="36">
        <f t="shared" si="11"/>
        <v>0</v>
      </c>
      <c r="J29" s="37">
        <f t="shared" si="12"/>
        <v>0.46</v>
      </c>
      <c r="K29" s="35">
        <f t="shared" si="13"/>
        <v>0</v>
      </c>
      <c r="L29" s="38">
        <f t="shared" si="14"/>
        <v>0</v>
      </c>
      <c r="M29" s="39">
        <f t="shared" si="15"/>
        <v>0</v>
      </c>
      <c r="N29" s="40">
        <f t="shared" si="16"/>
        <v>0</v>
      </c>
    </row>
    <row r="30" ht="18.75" customHeight="1">
      <c r="A30" s="27"/>
      <c r="B30" s="25" t="s">
        <v>80</v>
      </c>
      <c r="C30" s="26"/>
      <c r="D30" s="100" t="s">
        <v>99</v>
      </c>
      <c r="E30" s="33">
        <v>0.0</v>
      </c>
      <c r="F30" s="55">
        <v>0.0</v>
      </c>
      <c r="G30" s="34">
        <f t="shared" si="9"/>
        <v>0</v>
      </c>
      <c r="H30" s="35">
        <f t="shared" si="10"/>
        <v>0</v>
      </c>
      <c r="I30" s="36">
        <f t="shared" si="11"/>
        <v>0</v>
      </c>
      <c r="J30" s="37">
        <f t="shared" si="12"/>
        <v>0.46</v>
      </c>
      <c r="K30" s="35">
        <f t="shared" si="13"/>
        <v>0</v>
      </c>
      <c r="L30" s="38">
        <f t="shared" si="14"/>
        <v>0</v>
      </c>
      <c r="M30" s="39">
        <f t="shared" si="15"/>
        <v>0</v>
      </c>
      <c r="N30" s="40">
        <f t="shared" si="16"/>
        <v>0</v>
      </c>
    </row>
    <row r="31" ht="18.75" customHeight="1">
      <c r="A31" s="27"/>
      <c r="B31" s="99" t="s">
        <v>82</v>
      </c>
      <c r="C31" s="26"/>
      <c r="D31" s="29"/>
      <c r="E31" s="33"/>
      <c r="F31" s="55"/>
      <c r="G31" s="34"/>
      <c r="H31" s="35"/>
      <c r="I31" s="36"/>
      <c r="J31" s="37"/>
      <c r="K31" s="35"/>
      <c r="L31" s="38"/>
      <c r="M31" s="39"/>
      <c r="N31" s="40"/>
    </row>
    <row r="32" ht="18.75" customHeight="1">
      <c r="A32" s="102"/>
      <c r="B32" s="25" t="s">
        <v>137</v>
      </c>
      <c r="C32" s="26" t="s">
        <v>101</v>
      </c>
      <c r="D32" s="100" t="s">
        <v>126</v>
      </c>
      <c r="E32" s="33">
        <v>1.0</v>
      </c>
      <c r="F32" s="32">
        <v>524.0</v>
      </c>
      <c r="G32" s="34">
        <f t="shared" ref="G32:G38" si="17">IF(F32=0,0,F32*$B$4*E32)</f>
        <v>812200</v>
      </c>
      <c r="H32" s="35">
        <f t="shared" ref="H32:H38" si="18">IF(F32=0,0,G32*$D$5)</f>
        <v>81220</v>
      </c>
      <c r="I32" s="36">
        <f t="shared" ref="I32:I38" si="19">IF(F32=0,0,G32+H32)</f>
        <v>893420</v>
      </c>
      <c r="J32" s="37">
        <f t="shared" ref="J32:J38" si="20">$F$4</f>
        <v>0.46</v>
      </c>
      <c r="K32" s="35">
        <f t="shared" ref="K32:K38" si="21">IF(F32=0,0,I32*$J$4)</f>
        <v>44671</v>
      </c>
      <c r="L32" s="38">
        <f t="shared" ref="L32:L38" si="22">IF(F32=0,0,I32*(1+$J$7)+K32)</f>
        <v>938091</v>
      </c>
      <c r="M32" s="39">
        <f t="shared" ref="M32:M38" si="23">IF(F32=0,0,L32*(1+$D$4))</f>
        <v>1135090.11</v>
      </c>
      <c r="N32" s="40">
        <f t="shared" ref="N32:N38" si="24">IF(F32=0,0,L32-I32)</f>
        <v>44671</v>
      </c>
    </row>
    <row r="33" ht="18.75" customHeight="1">
      <c r="A33" s="27"/>
      <c r="B33" s="25" t="s">
        <v>150</v>
      </c>
      <c r="C33" s="26" t="s">
        <v>101</v>
      </c>
      <c r="D33" s="100" t="s">
        <v>126</v>
      </c>
      <c r="E33" s="33">
        <v>1.0</v>
      </c>
      <c r="F33" s="32">
        <v>310.47</v>
      </c>
      <c r="G33" s="34">
        <f t="shared" si="17"/>
        <v>481228.5</v>
      </c>
      <c r="H33" s="35">
        <f t="shared" si="18"/>
        <v>48122.85</v>
      </c>
      <c r="I33" s="36">
        <f t="shared" si="19"/>
        <v>529351.35</v>
      </c>
      <c r="J33" s="37">
        <f t="shared" si="20"/>
        <v>0.46</v>
      </c>
      <c r="K33" s="35">
        <f t="shared" si="21"/>
        <v>26467.5675</v>
      </c>
      <c r="L33" s="38">
        <f t="shared" si="22"/>
        <v>555818.9175</v>
      </c>
      <c r="M33" s="39">
        <f t="shared" si="23"/>
        <v>672540.8902</v>
      </c>
      <c r="N33" s="40">
        <f t="shared" si="24"/>
        <v>26467.5675</v>
      </c>
    </row>
    <row r="34" ht="18.75" customHeight="1">
      <c r="A34" s="27"/>
      <c r="B34" s="25" t="s">
        <v>154</v>
      </c>
      <c r="C34" s="26" t="s">
        <v>101</v>
      </c>
      <c r="D34" s="100" t="s">
        <v>126</v>
      </c>
      <c r="E34" s="33">
        <v>1.0</v>
      </c>
      <c r="F34" s="32">
        <v>15.32</v>
      </c>
      <c r="G34" s="34">
        <f t="shared" si="17"/>
        <v>23746</v>
      </c>
      <c r="H34" s="35">
        <f t="shared" si="18"/>
        <v>2374.6</v>
      </c>
      <c r="I34" s="36">
        <f t="shared" si="19"/>
        <v>26120.6</v>
      </c>
      <c r="J34" s="37">
        <f t="shared" si="20"/>
        <v>0.46</v>
      </c>
      <c r="K34" s="35">
        <f t="shared" si="21"/>
        <v>1306.03</v>
      </c>
      <c r="L34" s="38">
        <f t="shared" si="22"/>
        <v>27426.63</v>
      </c>
      <c r="M34" s="39">
        <f t="shared" si="23"/>
        <v>33186.2223</v>
      </c>
      <c r="N34" s="40">
        <f t="shared" si="24"/>
        <v>1306.03</v>
      </c>
    </row>
    <row r="35" ht="18.75" customHeight="1">
      <c r="A35" s="27"/>
      <c r="B35" s="25" t="s">
        <v>163</v>
      </c>
      <c r="C35" s="26" t="s">
        <v>101</v>
      </c>
      <c r="D35" s="100" t="s">
        <v>126</v>
      </c>
      <c r="E35" s="33">
        <v>3.0</v>
      </c>
      <c r="F35" s="32">
        <v>93.0</v>
      </c>
      <c r="G35" s="34">
        <f t="shared" si="17"/>
        <v>432450</v>
      </c>
      <c r="H35" s="35">
        <f t="shared" si="18"/>
        <v>43245</v>
      </c>
      <c r="I35" s="36">
        <f t="shared" si="19"/>
        <v>475695</v>
      </c>
      <c r="J35" s="37">
        <f t="shared" si="20"/>
        <v>0.46</v>
      </c>
      <c r="K35" s="35">
        <f t="shared" si="21"/>
        <v>23784.75</v>
      </c>
      <c r="L35" s="38">
        <f t="shared" si="22"/>
        <v>499479.75</v>
      </c>
      <c r="M35" s="39">
        <f t="shared" si="23"/>
        <v>604370.4975</v>
      </c>
      <c r="N35" s="40">
        <f t="shared" si="24"/>
        <v>23784.75</v>
      </c>
    </row>
    <row r="36" ht="18.75" customHeight="1">
      <c r="A36" s="27"/>
      <c r="B36" s="25" t="s">
        <v>165</v>
      </c>
      <c r="C36" s="26" t="s">
        <v>101</v>
      </c>
      <c r="D36" s="100" t="s">
        <v>126</v>
      </c>
      <c r="E36" s="33">
        <v>4.0</v>
      </c>
      <c r="F36" s="32">
        <v>93.0</v>
      </c>
      <c r="G36" s="34">
        <f t="shared" si="17"/>
        <v>576600</v>
      </c>
      <c r="H36" s="35">
        <f t="shared" si="18"/>
        <v>57660</v>
      </c>
      <c r="I36" s="36">
        <f t="shared" si="19"/>
        <v>634260</v>
      </c>
      <c r="J36" s="37">
        <f t="shared" si="20"/>
        <v>0.46</v>
      </c>
      <c r="K36" s="35">
        <f t="shared" si="21"/>
        <v>31713</v>
      </c>
      <c r="L36" s="38">
        <f t="shared" si="22"/>
        <v>665973</v>
      </c>
      <c r="M36" s="39">
        <f t="shared" si="23"/>
        <v>805827.33</v>
      </c>
      <c r="N36" s="40">
        <f t="shared" si="24"/>
        <v>31713</v>
      </c>
    </row>
    <row r="37" ht="18.75" customHeight="1">
      <c r="A37" s="27"/>
      <c r="B37" s="25" t="s">
        <v>168</v>
      </c>
      <c r="C37" s="26" t="s">
        <v>101</v>
      </c>
      <c r="D37" s="100" t="s">
        <v>169</v>
      </c>
      <c r="E37" s="33">
        <v>2.0</v>
      </c>
      <c r="F37" s="32">
        <v>187.65</v>
      </c>
      <c r="G37" s="34">
        <f t="shared" si="17"/>
        <v>581715</v>
      </c>
      <c r="H37" s="35">
        <f t="shared" si="18"/>
        <v>58171.5</v>
      </c>
      <c r="I37" s="36">
        <f t="shared" si="19"/>
        <v>639886.5</v>
      </c>
      <c r="J37" s="37">
        <f t="shared" si="20"/>
        <v>0.46</v>
      </c>
      <c r="K37" s="35">
        <f t="shared" si="21"/>
        <v>31994.325</v>
      </c>
      <c r="L37" s="38">
        <f t="shared" si="22"/>
        <v>671880.825</v>
      </c>
      <c r="M37" s="39">
        <f t="shared" si="23"/>
        <v>812975.7983</v>
      </c>
      <c r="N37" s="40">
        <f t="shared" si="24"/>
        <v>31994.325</v>
      </c>
    </row>
    <row r="38" ht="18.75" customHeight="1">
      <c r="A38" s="27"/>
      <c r="B38" s="25" t="s">
        <v>91</v>
      </c>
      <c r="C38" s="26" t="s">
        <v>172</v>
      </c>
      <c r="D38" s="29"/>
      <c r="E38" s="33">
        <v>1.0</v>
      </c>
      <c r="F38" s="32">
        <v>100.0</v>
      </c>
      <c r="G38" s="34">
        <f t="shared" si="17"/>
        <v>155000</v>
      </c>
      <c r="H38" s="35">
        <f t="shared" si="18"/>
        <v>15500</v>
      </c>
      <c r="I38" s="36">
        <f t="shared" si="19"/>
        <v>170500</v>
      </c>
      <c r="J38" s="37">
        <f t="shared" si="20"/>
        <v>0.46</v>
      </c>
      <c r="K38" s="35">
        <f t="shared" si="21"/>
        <v>8525</v>
      </c>
      <c r="L38" s="38">
        <f t="shared" si="22"/>
        <v>179025</v>
      </c>
      <c r="M38" s="39">
        <f t="shared" si="23"/>
        <v>216620.25</v>
      </c>
      <c r="N38" s="40">
        <f t="shared" si="24"/>
        <v>8525</v>
      </c>
    </row>
    <row r="39" ht="18.75" customHeight="1">
      <c r="A39" s="27"/>
      <c r="B39" s="99" t="s">
        <v>92</v>
      </c>
      <c r="C39" s="26"/>
      <c r="D39" s="29"/>
      <c r="E39" s="33"/>
      <c r="F39" s="55"/>
      <c r="G39" s="34"/>
      <c r="H39" s="35"/>
      <c r="I39" s="36"/>
      <c r="J39" s="37"/>
      <c r="K39" s="35"/>
      <c r="L39" s="38"/>
      <c r="M39" s="39"/>
      <c r="N39" s="40"/>
    </row>
    <row r="40" ht="18.75" customHeight="1">
      <c r="A40" s="27"/>
      <c r="B40" s="25" t="s">
        <v>93</v>
      </c>
      <c r="C40" s="26"/>
      <c r="D40" s="29"/>
      <c r="E40" s="33">
        <v>0.0</v>
      </c>
      <c r="F40" s="55">
        <v>0.0</v>
      </c>
      <c r="G40" s="34">
        <f t="shared" ref="G40:G42" si="25">IF(F40=0,0,F40*$B$4*E40)</f>
        <v>0</v>
      </c>
      <c r="H40" s="35">
        <f t="shared" ref="H40:H42" si="26">IF(F40=0,0,G40*$D$5)</f>
        <v>0</v>
      </c>
      <c r="I40" s="36">
        <f t="shared" ref="I40:I42" si="27">IF(F40=0,0,G40+H40)</f>
        <v>0</v>
      </c>
      <c r="J40" s="37">
        <f t="shared" ref="J40:J42" si="28">$F$4</f>
        <v>0.46</v>
      </c>
      <c r="K40" s="35">
        <f t="shared" ref="K40:K42" si="29">IF(F40=0,0,I40*$J$4)</f>
        <v>0</v>
      </c>
      <c r="L40" s="38">
        <f t="shared" ref="L40:L42" si="30">IF(F40=0,0,I40*(1+$J$7)+K40)</f>
        <v>0</v>
      </c>
      <c r="M40" s="39">
        <f t="shared" ref="M40:M42" si="31">IF(F40=0,0,L40*(1+$D$4))</f>
        <v>0</v>
      </c>
      <c r="N40" s="40">
        <f t="shared" ref="N40:N42" si="32">IF(F40=0,0,L40-I40)</f>
        <v>0</v>
      </c>
    </row>
    <row r="41" ht="18.75" customHeight="1">
      <c r="A41" s="27"/>
      <c r="B41" s="25" t="s">
        <v>94</v>
      </c>
      <c r="C41" s="26"/>
      <c r="D41" s="29"/>
      <c r="E41" s="33">
        <v>0.0</v>
      </c>
      <c r="F41" s="55">
        <v>0.0</v>
      </c>
      <c r="G41" s="34">
        <f t="shared" si="25"/>
        <v>0</v>
      </c>
      <c r="H41" s="35">
        <f t="shared" si="26"/>
        <v>0</v>
      </c>
      <c r="I41" s="36">
        <f t="shared" si="27"/>
        <v>0</v>
      </c>
      <c r="J41" s="37">
        <f t="shared" si="28"/>
        <v>0.46</v>
      </c>
      <c r="K41" s="35">
        <f t="shared" si="29"/>
        <v>0</v>
      </c>
      <c r="L41" s="38">
        <f t="shared" si="30"/>
        <v>0</v>
      </c>
      <c r="M41" s="39">
        <f t="shared" si="31"/>
        <v>0</v>
      </c>
      <c r="N41" s="40">
        <f t="shared" si="32"/>
        <v>0</v>
      </c>
    </row>
    <row r="42" ht="18.75" customHeight="1">
      <c r="A42" s="27"/>
      <c r="B42" s="25" t="s">
        <v>95</v>
      </c>
      <c r="C42" s="26"/>
      <c r="D42" s="29"/>
      <c r="E42" s="33">
        <v>0.0</v>
      </c>
      <c r="F42" s="55">
        <v>0.0</v>
      </c>
      <c r="G42" s="34">
        <f t="shared" si="25"/>
        <v>0</v>
      </c>
      <c r="H42" s="35">
        <f t="shared" si="26"/>
        <v>0</v>
      </c>
      <c r="I42" s="36">
        <f t="shared" si="27"/>
        <v>0</v>
      </c>
      <c r="J42" s="37">
        <f t="shared" si="28"/>
        <v>0.46</v>
      </c>
      <c r="K42" s="35">
        <f t="shared" si="29"/>
        <v>0</v>
      </c>
      <c r="L42" s="38">
        <f t="shared" si="30"/>
        <v>0</v>
      </c>
      <c r="M42" s="39">
        <f t="shared" si="31"/>
        <v>0</v>
      </c>
      <c r="N42" s="40">
        <f t="shared" si="32"/>
        <v>0</v>
      </c>
    </row>
    <row r="43" ht="18.75" customHeight="1">
      <c r="A43" s="27"/>
      <c r="B43" s="25"/>
      <c r="C43" s="26"/>
      <c r="D43" s="29"/>
      <c r="E43" s="33"/>
      <c r="F43" s="55"/>
      <c r="G43" s="34"/>
      <c r="H43" s="35"/>
      <c r="I43" s="36"/>
      <c r="J43" s="37"/>
      <c r="K43" s="35"/>
      <c r="L43" s="38"/>
      <c r="M43" s="39"/>
      <c r="N43" s="40"/>
    </row>
    <row r="44" ht="18.75" customHeight="1">
      <c r="A44" s="27"/>
      <c r="B44" s="77" t="s">
        <v>96</v>
      </c>
      <c r="C44" s="77" t="s">
        <v>72</v>
      </c>
      <c r="D44" s="79" t="s">
        <v>73</v>
      </c>
      <c r="E44" s="80">
        <v>1.0</v>
      </c>
      <c r="F44" s="92">
        <v>50.0</v>
      </c>
      <c r="G44" s="82">
        <f>IF(F44=0,0,F44*$B$4*E44)</f>
        <v>77500</v>
      </c>
      <c r="H44" s="93">
        <v>0.0</v>
      </c>
      <c r="I44" s="85">
        <f>IF(F44=0,0,G44+H44)</f>
        <v>77500</v>
      </c>
      <c r="J44" s="86">
        <f>$F$4</f>
        <v>0.46</v>
      </c>
      <c r="K44" s="93">
        <v>0.0</v>
      </c>
      <c r="L44" s="87">
        <f>IF(F44=0,0,I44*(1+$J$7)+K44)</f>
        <v>77500</v>
      </c>
      <c r="M44" s="87">
        <f>IF(F44=0,0,L44*(1+$D$4))</f>
        <v>93775</v>
      </c>
      <c r="N44" s="88">
        <f>IF(F44=0,0,L44-I44)</f>
        <v>0</v>
      </c>
    </row>
    <row r="45" ht="24.0" customHeight="1">
      <c r="A45" s="41"/>
      <c r="B45" s="42" t="s">
        <v>37</v>
      </c>
      <c r="C45" s="43"/>
      <c r="D45" s="43"/>
      <c r="E45" s="44"/>
      <c r="F45" s="45">
        <f t="shared" ref="F45:I45" si="33">SUM(F7:F44)</f>
        <v>2290.83</v>
      </c>
      <c r="G45" s="46">
        <f t="shared" si="33"/>
        <v>3140439.5</v>
      </c>
      <c r="H45" s="46">
        <f t="shared" si="33"/>
        <v>306293.95</v>
      </c>
      <c r="I45" s="46">
        <f t="shared" si="33"/>
        <v>3446733.45</v>
      </c>
      <c r="J45" s="47">
        <f>F4</f>
        <v>0.46</v>
      </c>
      <c r="K45" s="46">
        <f t="shared" ref="K45:N45" si="34">SUM(K7:K44)</f>
        <v>168461.6725</v>
      </c>
      <c r="L45" s="46">
        <f t="shared" si="34"/>
        <v>3615195.123</v>
      </c>
      <c r="M45" s="46">
        <f t="shared" si="34"/>
        <v>4374386.098</v>
      </c>
      <c r="N45" s="46">
        <f t="shared" si="34"/>
        <v>168461.6725</v>
      </c>
    </row>
    <row r="46" ht="15.75" customHeight="1"/>
    <row r="47" ht="15.75" customHeight="1"/>
    <row r="48" ht="15.75" customHeight="1"/>
    <row r="49" ht="15.75" customHeight="1"/>
    <row r="50">
      <c r="G50" s="48" t="s">
        <v>40</v>
      </c>
      <c r="H50" s="49"/>
      <c r="I50" s="49"/>
      <c r="J50" s="49"/>
      <c r="K50" s="49"/>
      <c r="L50" s="49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G51" s="52" t="s">
        <v>42</v>
      </c>
      <c r="H51" s="49"/>
      <c r="I51" s="49"/>
      <c r="J51" s="49"/>
      <c r="K51" s="49"/>
      <c r="L51" s="49"/>
      <c r="M51" s="49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G52" s="53" t="s">
        <v>43</v>
      </c>
      <c r="H52" s="53" t="s">
        <v>44</v>
      </c>
      <c r="I52" s="54" t="s">
        <v>45</v>
      </c>
      <c r="J52" s="54" t="s">
        <v>46</v>
      </c>
      <c r="K52" s="54" t="s">
        <v>47</v>
      </c>
      <c r="L52" s="54" t="s">
        <v>48</v>
      </c>
      <c r="M52" s="54" t="s">
        <v>50</v>
      </c>
      <c r="N52" s="54" t="s">
        <v>51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G53" s="56">
        <v>0.0</v>
      </c>
      <c r="H53" s="56">
        <v>0.0</v>
      </c>
      <c r="I53" s="57">
        <f t="shared" ref="I53:I55" si="35">IF(G53*H53=0,0,G53*H53*8)</f>
        <v>0</v>
      </c>
      <c r="J53" s="58">
        <v>15.125</v>
      </c>
      <c r="K53" s="59">
        <f t="shared" ref="K53:K55" si="36">IF(I53*J53=0,0,I53*J53)</f>
        <v>0</v>
      </c>
      <c r="L53" s="59">
        <f t="shared" ref="L53:L55" si="37">IF(K53=0,0,K53*(1+$D$4))</f>
        <v>0</v>
      </c>
      <c r="M53" s="60">
        <f t="shared" ref="M53:M55" si="38">IF(K53=0,0,K53*$B$4)</f>
        <v>0</v>
      </c>
      <c r="N53" s="61">
        <f t="shared" ref="N53:N55" si="39">IF(M53=0,0,M53*(1+$D$4))</f>
        <v>0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G54" s="62">
        <v>0.0</v>
      </c>
      <c r="H54" s="62">
        <v>0.0</v>
      </c>
      <c r="I54" s="57">
        <f t="shared" si="35"/>
        <v>0</v>
      </c>
      <c r="J54" s="58">
        <v>15.125</v>
      </c>
      <c r="K54" s="59">
        <f t="shared" si="36"/>
        <v>0</v>
      </c>
      <c r="L54" s="59">
        <f t="shared" si="37"/>
        <v>0</v>
      </c>
      <c r="M54" s="60">
        <f t="shared" si="38"/>
        <v>0</v>
      </c>
      <c r="N54" s="61">
        <f t="shared" si="39"/>
        <v>0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G55" s="62">
        <v>0.0</v>
      </c>
      <c r="H55" s="62">
        <v>0.0</v>
      </c>
      <c r="I55" s="57">
        <f t="shared" si="35"/>
        <v>0</v>
      </c>
      <c r="J55" s="58">
        <v>15.125</v>
      </c>
      <c r="K55" s="59">
        <f t="shared" si="36"/>
        <v>0</v>
      </c>
      <c r="L55" s="59">
        <f t="shared" si="37"/>
        <v>0</v>
      </c>
      <c r="M55" s="60">
        <f t="shared" si="38"/>
        <v>0</v>
      </c>
      <c r="N55" s="61">
        <f t="shared" si="39"/>
        <v>0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G56" s="63" t="s">
        <v>56</v>
      </c>
      <c r="H56" s="49"/>
      <c r="I56" s="49"/>
      <c r="J56" s="50"/>
      <c r="K56" s="64">
        <f t="shared" ref="K56:N56" si="40">SUM(K53:K55)</f>
        <v>0</v>
      </c>
      <c r="L56" s="65">
        <f t="shared" si="40"/>
        <v>0</v>
      </c>
      <c r="M56" s="65">
        <f t="shared" si="40"/>
        <v>0</v>
      </c>
      <c r="N56" s="65">
        <f t="shared" si="40"/>
        <v>0</v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66" t="s">
        <v>59</v>
      </c>
      <c r="H58" s="49"/>
      <c r="I58" s="49"/>
      <c r="J58" s="49"/>
      <c r="K58" s="49"/>
      <c r="L58" s="49"/>
      <c r="M58" s="49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67" t="s">
        <v>60</v>
      </c>
      <c r="H59" s="68" t="s">
        <v>61</v>
      </c>
      <c r="I59" s="68" t="s">
        <v>62</v>
      </c>
      <c r="J59" s="67" t="s">
        <v>63</v>
      </c>
      <c r="K59" s="68" t="s">
        <v>47</v>
      </c>
      <c r="L59" s="68" t="s">
        <v>48</v>
      </c>
      <c r="M59" s="68" t="s">
        <v>50</v>
      </c>
      <c r="N59" s="68" t="s">
        <v>51</v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6">
        <v>0.0</v>
      </c>
      <c r="H60" s="56">
        <f t="shared" ref="H60:H62" si="41">G60</f>
        <v>0</v>
      </c>
      <c r="I60" s="69">
        <f t="shared" ref="I60:I62" si="42">IF(G60*2=0,0,G60*2)</f>
        <v>0</v>
      </c>
      <c r="J60" s="58">
        <v>1.331</v>
      </c>
      <c r="K60" s="70">
        <f t="shared" ref="K60:K62" si="43">IF(I60*J60=0,0,I60*J60)</f>
        <v>0</v>
      </c>
      <c r="L60" s="71">
        <f t="shared" ref="L60:L62" si="44">IF(K60=0,0,K60*$B$4*(1+$D$4))</f>
        <v>0</v>
      </c>
      <c r="M60" s="72">
        <f t="shared" ref="M60:M62" si="45">IF(K60=0,0,K60*$B$4)</f>
        <v>0</v>
      </c>
      <c r="N60" s="73">
        <f t="shared" ref="N60:N62" si="46">IF(M60=0,0,M60*(1+$D$4))</f>
        <v>0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62">
        <v>0.0</v>
      </c>
      <c r="H61" s="56">
        <f t="shared" si="41"/>
        <v>0</v>
      </c>
      <c r="I61" s="69">
        <f t="shared" si="42"/>
        <v>0</v>
      </c>
      <c r="J61" s="58">
        <v>1.331</v>
      </c>
      <c r="K61" s="70">
        <f t="shared" si="43"/>
        <v>0</v>
      </c>
      <c r="L61" s="71">
        <f t="shared" si="44"/>
        <v>0</v>
      </c>
      <c r="M61" s="72">
        <f t="shared" si="45"/>
        <v>0</v>
      </c>
      <c r="N61" s="73">
        <f t="shared" si="46"/>
        <v>0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G62" s="62">
        <v>0.0</v>
      </c>
      <c r="H62" s="56">
        <f t="shared" si="41"/>
        <v>0</v>
      </c>
      <c r="I62" s="69">
        <f t="shared" si="42"/>
        <v>0</v>
      </c>
      <c r="J62" s="58">
        <v>1.331</v>
      </c>
      <c r="K62" s="70">
        <f t="shared" si="43"/>
        <v>0</v>
      </c>
      <c r="L62" s="71">
        <f t="shared" si="44"/>
        <v>0</v>
      </c>
      <c r="M62" s="72">
        <f t="shared" si="45"/>
        <v>0</v>
      </c>
      <c r="N62" s="73">
        <f t="shared" si="46"/>
        <v>0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G63" s="74" t="s">
        <v>69</v>
      </c>
      <c r="H63" s="49"/>
      <c r="I63" s="49"/>
      <c r="J63" s="50"/>
      <c r="K63" s="76">
        <f t="shared" ref="K63:N63" si="47">SUM(K60:K62)</f>
        <v>0</v>
      </c>
      <c r="L63" s="78">
        <f t="shared" si="47"/>
        <v>0</v>
      </c>
      <c r="M63" s="78">
        <f t="shared" si="47"/>
        <v>0</v>
      </c>
      <c r="N63" s="78">
        <f t="shared" si="47"/>
        <v>0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/>
    <row r="66" ht="15.75" customHeight="1"/>
    <row r="67" ht="16.5" customHeight="1">
      <c r="A67" s="48" t="s">
        <v>76</v>
      </c>
      <c r="B67" s="49"/>
      <c r="C67" s="49"/>
      <c r="D67" s="50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6.5" customHeight="1">
      <c r="A68" s="52" t="s">
        <v>77</v>
      </c>
      <c r="B68" s="49"/>
      <c r="C68" s="49"/>
      <c r="D68" s="50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26.25" customHeight="1">
      <c r="A69" s="54" t="s">
        <v>16</v>
      </c>
      <c r="B69" s="54" t="s">
        <v>79</v>
      </c>
      <c r="C69" s="54" t="s">
        <v>27</v>
      </c>
      <c r="D69" s="54" t="s">
        <v>28</v>
      </c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6.5" customHeight="1">
      <c r="A70" s="90">
        <v>1.0</v>
      </c>
      <c r="B70" s="90" t="s">
        <v>81</v>
      </c>
      <c r="C70" s="91">
        <f t="shared" ref="C70:D70" si="48">L45</f>
        <v>3615195.123</v>
      </c>
      <c r="D70" s="91">
        <f t="shared" si="48"/>
        <v>4374386.098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6.5" customHeight="1">
      <c r="A71" s="90">
        <v>2.0</v>
      </c>
      <c r="B71" s="90" t="s">
        <v>42</v>
      </c>
      <c r="C71" s="91">
        <f t="shared" ref="C71:D71" si="49">M56</f>
        <v>0</v>
      </c>
      <c r="D71" s="91">
        <f t="shared" si="49"/>
        <v>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6.5" customHeight="1">
      <c r="A72" s="90">
        <v>3.0</v>
      </c>
      <c r="B72" s="90" t="s">
        <v>59</v>
      </c>
      <c r="C72" s="91">
        <f t="shared" ref="C72:D72" si="50">M63</f>
        <v>0</v>
      </c>
      <c r="D72" s="91">
        <f t="shared" si="50"/>
        <v>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6.5" customHeight="1">
      <c r="A73" s="94" t="s">
        <v>84</v>
      </c>
      <c r="B73" s="50"/>
      <c r="C73" s="65">
        <f t="shared" ref="C73:D73" si="51">SUM(C70:C72)</f>
        <v>3615195.123</v>
      </c>
      <c r="D73" s="65">
        <f t="shared" si="51"/>
        <v>4374386.098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G56:J56"/>
    <mergeCell ref="G63:J63"/>
    <mergeCell ref="A67:D67"/>
    <mergeCell ref="A68:D68"/>
    <mergeCell ref="A73:B73"/>
    <mergeCell ref="A1:N1"/>
    <mergeCell ref="A2:N2"/>
    <mergeCell ref="A3:N3"/>
    <mergeCell ref="K4:N5"/>
    <mergeCell ref="G50:N50"/>
    <mergeCell ref="G51:N51"/>
    <mergeCell ref="G58:N58"/>
  </mergeCells>
  <conditionalFormatting sqref="J7:J44">
    <cfRule type="cellIs" dxfId="0" priority="1" operator="lessThan">
      <formula>$H$4</formula>
    </cfRule>
  </conditionalFormatting>
  <conditionalFormatting sqref="J7:J44">
    <cfRule type="cellIs" dxfId="1" priority="2" operator="greaterThanOrEqual">
      <formula>$F$4</formula>
    </cfRule>
  </conditionalFormatting>
  <conditionalFormatting sqref="J7:J44">
    <cfRule type="cellIs" dxfId="2" priority="3" operator="between">
      <formula>$H$4</formula>
      <formula>$F$4</formula>
    </cfRule>
  </conditionalFormatting>
  <dataValidations>
    <dataValidation type="list" allowBlank="1" sqref="D7:D44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86"/>
    <col customWidth="1" min="2" max="2" width="92.86"/>
    <col customWidth="1" min="3" max="3" width="11.14"/>
    <col customWidth="1" min="4" max="4" width="20.43"/>
    <col customWidth="1" min="5" max="5" width="18.86"/>
    <col customWidth="1" min="6" max="6" width="16.0"/>
    <col customWidth="1" min="7" max="7" width="16.86"/>
    <col customWidth="1" min="8" max="8" width="14.86"/>
    <col customWidth="1" min="9" max="9" width="18.29"/>
    <col customWidth="1" min="10" max="10" width="18.0"/>
    <col customWidth="1" min="11" max="11" width="17.71"/>
    <col customWidth="1" min="12" max="12" width="21.29"/>
    <col customWidth="1" min="13" max="13" width="19.29"/>
    <col customWidth="1" min="14" max="14" width="20.14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6" t="s">
        <v>3</v>
      </c>
      <c r="B4" s="7">
        <v>1550.0</v>
      </c>
      <c r="C4" s="8" t="s">
        <v>4</v>
      </c>
      <c r="D4" s="9">
        <v>0.21</v>
      </c>
      <c r="E4" s="6" t="s">
        <v>5</v>
      </c>
      <c r="F4" s="10">
        <v>0.46</v>
      </c>
      <c r="G4" s="8" t="s">
        <v>6</v>
      </c>
      <c r="H4" s="9">
        <v>0.3</v>
      </c>
      <c r="I4" s="6" t="s">
        <v>7</v>
      </c>
      <c r="J4" s="11">
        <v>0.05</v>
      </c>
      <c r="K4" s="13"/>
      <c r="L4" s="14"/>
      <c r="M4" s="14"/>
      <c r="N4" s="15"/>
    </row>
    <row r="5" ht="22.5" customHeight="1">
      <c r="A5" s="8" t="s">
        <v>10</v>
      </c>
      <c r="B5" s="11">
        <v>0.3</v>
      </c>
      <c r="C5" s="8" t="s">
        <v>11</v>
      </c>
      <c r="D5" s="11">
        <v>0.1</v>
      </c>
      <c r="E5" s="6" t="s">
        <v>12</v>
      </c>
      <c r="F5" s="16">
        <v>12.0</v>
      </c>
      <c r="G5" s="8" t="s">
        <v>14</v>
      </c>
      <c r="H5" s="16">
        <v>0.0</v>
      </c>
      <c r="I5" s="6" t="s">
        <v>15</v>
      </c>
      <c r="J5" s="16"/>
      <c r="K5" s="17"/>
      <c r="L5" s="17"/>
      <c r="M5" s="17"/>
      <c r="N5" s="19"/>
    </row>
    <row r="6" ht="37.5" customHeight="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1" t="s">
        <v>23</v>
      </c>
      <c r="I6" s="22" t="s">
        <v>24</v>
      </c>
      <c r="J6" s="22" t="s">
        <v>26</v>
      </c>
      <c r="K6" s="24" t="s">
        <v>30</v>
      </c>
      <c r="L6" s="22" t="s">
        <v>27</v>
      </c>
      <c r="M6" s="22" t="s">
        <v>28</v>
      </c>
      <c r="N6" s="22" t="s">
        <v>29</v>
      </c>
    </row>
    <row r="7" ht="18.75" customHeight="1">
      <c r="A7" s="27"/>
      <c r="B7" s="99" t="s">
        <v>33</v>
      </c>
      <c r="C7" s="26"/>
      <c r="D7" s="29"/>
      <c r="E7" s="33"/>
      <c r="F7" s="32"/>
      <c r="G7" s="34"/>
      <c r="H7" s="35"/>
      <c r="I7" s="36"/>
      <c r="J7" s="37"/>
      <c r="K7" s="35"/>
      <c r="L7" s="38"/>
      <c r="M7" s="39"/>
      <c r="N7" s="40"/>
    </row>
    <row r="8" ht="18.75" customHeight="1">
      <c r="A8" s="102" t="s">
        <v>120</v>
      </c>
      <c r="B8" s="25" t="s">
        <v>121</v>
      </c>
      <c r="C8" s="26" t="s">
        <v>122</v>
      </c>
      <c r="D8" s="29"/>
      <c r="E8" s="33"/>
      <c r="F8" s="32"/>
      <c r="G8" s="34"/>
      <c r="H8" s="35"/>
      <c r="I8" s="36"/>
      <c r="J8" s="37">
        <v>0.0</v>
      </c>
      <c r="K8" s="35"/>
      <c r="L8" s="38"/>
      <c r="M8" s="39"/>
      <c r="N8" s="40"/>
    </row>
    <row r="9" ht="18.75" customHeight="1">
      <c r="A9" s="105"/>
      <c r="B9" s="25" t="s">
        <v>125</v>
      </c>
      <c r="C9" s="26" t="s">
        <v>122</v>
      </c>
      <c r="D9" s="100" t="s">
        <v>126</v>
      </c>
      <c r="E9" s="33">
        <v>1.0</v>
      </c>
      <c r="F9" s="32">
        <v>59.3</v>
      </c>
      <c r="G9" s="34">
        <f>IF(F9=0,0,F9*$B$4*E9)</f>
        <v>91915</v>
      </c>
      <c r="H9" s="35">
        <f>IF(F9=0,0,G9*$D$5)</f>
        <v>9191.5</v>
      </c>
      <c r="I9" s="36">
        <f>IF(F9=0,0,G9+H9)</f>
        <v>101106.5</v>
      </c>
      <c r="J9" s="37">
        <f>$F$4</f>
        <v>0.46</v>
      </c>
      <c r="K9" s="35">
        <f>IF(F9=0,0,I9*$J$4)</f>
        <v>5055.325</v>
      </c>
      <c r="L9" s="38">
        <f>IF(F9=0,0,I9*(1+$J$7)+K9)</f>
        <v>106161.825</v>
      </c>
      <c r="M9" s="39">
        <f>IF(F9=0,0,L9*(1+$D$4))</f>
        <v>128455.8083</v>
      </c>
      <c r="N9" s="40">
        <f>IF(F9=0,0,L9-I9)</f>
        <v>5055.325</v>
      </c>
    </row>
    <row r="10" ht="18.75" customHeight="1">
      <c r="A10" s="105"/>
      <c r="B10" s="25" t="s">
        <v>140</v>
      </c>
      <c r="C10" s="26" t="s">
        <v>122</v>
      </c>
      <c r="D10" s="29"/>
      <c r="E10" s="33"/>
      <c r="F10" s="32"/>
      <c r="G10" s="34"/>
      <c r="H10" s="35"/>
      <c r="I10" s="36"/>
      <c r="J10" s="37">
        <v>0.0</v>
      </c>
      <c r="K10" s="35"/>
      <c r="L10" s="38"/>
      <c r="M10" s="39"/>
      <c r="N10" s="40"/>
    </row>
    <row r="11" ht="18.75" customHeight="1">
      <c r="A11" s="27"/>
      <c r="B11" s="25" t="s">
        <v>141</v>
      </c>
      <c r="C11" s="26" t="s">
        <v>122</v>
      </c>
      <c r="D11" s="29"/>
      <c r="E11" s="33">
        <v>1.0</v>
      </c>
      <c r="F11" s="32">
        <v>50.92</v>
      </c>
      <c r="G11" s="34">
        <f t="shared" ref="G11:G21" si="1">IF(F11=0,0,F11*$B$4*E11)</f>
        <v>78926</v>
      </c>
      <c r="H11" s="35">
        <f t="shared" ref="H11:H21" si="2">IF(F11=0,0,G11*$D$5)</f>
        <v>7892.6</v>
      </c>
      <c r="I11" s="36">
        <f t="shared" ref="I11:I21" si="3">IF(F11=0,0,G11+H11)</f>
        <v>86818.6</v>
      </c>
      <c r="J11" s="37">
        <f t="shared" ref="J11:J21" si="4">$F$4</f>
        <v>0.46</v>
      </c>
      <c r="K11" s="35">
        <f t="shared" ref="K11:K21" si="5">IF(F11=0,0,I11*$J$4)</f>
        <v>4340.93</v>
      </c>
      <c r="L11" s="38">
        <f t="shared" ref="L11:L21" si="6">IF(F11=0,0,I11*(1+$J$7)+K11)</f>
        <v>91159.53</v>
      </c>
      <c r="M11" s="39">
        <f t="shared" ref="M11:M21" si="7">IF(F11=0,0,L11*(1+$D$4))</f>
        <v>110303.0313</v>
      </c>
      <c r="N11" s="40">
        <f t="shared" ref="N11:N21" si="8">IF(F11=0,0,L11-I11)</f>
        <v>4340.93</v>
      </c>
    </row>
    <row r="12" ht="18.75" customHeight="1">
      <c r="A12" s="27"/>
      <c r="B12" s="25" t="s">
        <v>156</v>
      </c>
      <c r="C12" s="26" t="s">
        <v>122</v>
      </c>
      <c r="D12" s="100" t="s">
        <v>126</v>
      </c>
      <c r="E12" s="33">
        <v>2.0</v>
      </c>
      <c r="F12" s="32">
        <v>82.0</v>
      </c>
      <c r="G12" s="34">
        <f t="shared" si="1"/>
        <v>254200</v>
      </c>
      <c r="H12" s="35">
        <f t="shared" si="2"/>
        <v>25420</v>
      </c>
      <c r="I12" s="36">
        <f t="shared" si="3"/>
        <v>279620</v>
      </c>
      <c r="J12" s="37">
        <f t="shared" si="4"/>
        <v>0.46</v>
      </c>
      <c r="K12" s="35">
        <f t="shared" si="5"/>
        <v>13981</v>
      </c>
      <c r="L12" s="38">
        <f t="shared" si="6"/>
        <v>293601</v>
      </c>
      <c r="M12" s="39">
        <f t="shared" si="7"/>
        <v>355257.21</v>
      </c>
      <c r="N12" s="40">
        <f t="shared" si="8"/>
        <v>13981</v>
      </c>
    </row>
    <row r="13" ht="18.75" customHeight="1">
      <c r="A13" s="27"/>
      <c r="B13" s="25" t="s">
        <v>166</v>
      </c>
      <c r="C13" s="26" t="s">
        <v>122</v>
      </c>
      <c r="D13" s="29"/>
      <c r="E13" s="33">
        <v>1.0</v>
      </c>
      <c r="F13" s="32">
        <v>89.0</v>
      </c>
      <c r="G13" s="34">
        <f t="shared" si="1"/>
        <v>137950</v>
      </c>
      <c r="H13" s="35">
        <f t="shared" si="2"/>
        <v>13795</v>
      </c>
      <c r="I13" s="36">
        <f t="shared" si="3"/>
        <v>151745</v>
      </c>
      <c r="J13" s="37">
        <f t="shared" si="4"/>
        <v>0.46</v>
      </c>
      <c r="K13" s="35">
        <f t="shared" si="5"/>
        <v>7587.25</v>
      </c>
      <c r="L13" s="38">
        <f t="shared" si="6"/>
        <v>159332.25</v>
      </c>
      <c r="M13" s="39">
        <f t="shared" si="7"/>
        <v>192792.0225</v>
      </c>
      <c r="N13" s="40">
        <f t="shared" si="8"/>
        <v>7587.25</v>
      </c>
    </row>
    <row r="14" ht="18.75" customHeight="1">
      <c r="A14" s="27"/>
      <c r="B14" s="25" t="s">
        <v>171</v>
      </c>
      <c r="C14" s="26" t="s">
        <v>122</v>
      </c>
      <c r="D14" s="100" t="s">
        <v>126</v>
      </c>
      <c r="E14" s="33">
        <v>4.0</v>
      </c>
      <c r="F14" s="32">
        <v>38.2</v>
      </c>
      <c r="G14" s="34">
        <f t="shared" si="1"/>
        <v>236840</v>
      </c>
      <c r="H14" s="35">
        <f t="shared" si="2"/>
        <v>23684</v>
      </c>
      <c r="I14" s="36">
        <f t="shared" si="3"/>
        <v>260524</v>
      </c>
      <c r="J14" s="37">
        <f t="shared" si="4"/>
        <v>0.46</v>
      </c>
      <c r="K14" s="35">
        <f t="shared" si="5"/>
        <v>13026.2</v>
      </c>
      <c r="L14" s="38">
        <f t="shared" si="6"/>
        <v>273550.2</v>
      </c>
      <c r="M14" s="39">
        <f t="shared" si="7"/>
        <v>330995.742</v>
      </c>
      <c r="N14" s="40">
        <f t="shared" si="8"/>
        <v>13026.2</v>
      </c>
    </row>
    <row r="15" ht="18.75" customHeight="1">
      <c r="A15" s="27"/>
      <c r="B15" s="25" t="s">
        <v>178</v>
      </c>
      <c r="C15" s="26" t="s">
        <v>122</v>
      </c>
      <c r="D15" s="29"/>
      <c r="E15" s="33">
        <v>1.0</v>
      </c>
      <c r="F15" s="32">
        <v>61.4</v>
      </c>
      <c r="G15" s="34">
        <f t="shared" si="1"/>
        <v>95170</v>
      </c>
      <c r="H15" s="35">
        <f t="shared" si="2"/>
        <v>9517</v>
      </c>
      <c r="I15" s="36">
        <f t="shared" si="3"/>
        <v>104687</v>
      </c>
      <c r="J15" s="37">
        <f t="shared" si="4"/>
        <v>0.46</v>
      </c>
      <c r="K15" s="35">
        <f t="shared" si="5"/>
        <v>5234.35</v>
      </c>
      <c r="L15" s="38">
        <f t="shared" si="6"/>
        <v>109921.35</v>
      </c>
      <c r="M15" s="39">
        <f t="shared" si="7"/>
        <v>133004.8335</v>
      </c>
      <c r="N15" s="40">
        <f t="shared" si="8"/>
        <v>5234.35</v>
      </c>
    </row>
    <row r="16" ht="18.75" customHeight="1">
      <c r="A16" s="27"/>
      <c r="B16" s="25" t="s">
        <v>179</v>
      </c>
      <c r="C16" s="26" t="s">
        <v>122</v>
      </c>
      <c r="D16" s="100" t="s">
        <v>126</v>
      </c>
      <c r="E16" s="33">
        <v>10.0</v>
      </c>
      <c r="F16" s="32">
        <v>42.0</v>
      </c>
      <c r="G16" s="34">
        <f t="shared" si="1"/>
        <v>651000</v>
      </c>
      <c r="H16" s="35">
        <f t="shared" si="2"/>
        <v>65100</v>
      </c>
      <c r="I16" s="36">
        <f t="shared" si="3"/>
        <v>716100</v>
      </c>
      <c r="J16" s="37">
        <f t="shared" si="4"/>
        <v>0.46</v>
      </c>
      <c r="K16" s="35">
        <f t="shared" si="5"/>
        <v>35805</v>
      </c>
      <c r="L16" s="38">
        <f t="shared" si="6"/>
        <v>751905</v>
      </c>
      <c r="M16" s="39">
        <f t="shared" si="7"/>
        <v>909805.05</v>
      </c>
      <c r="N16" s="40">
        <f t="shared" si="8"/>
        <v>35805</v>
      </c>
    </row>
    <row r="17" ht="18.75" customHeight="1">
      <c r="A17" s="27"/>
      <c r="B17" s="25" t="s">
        <v>183</v>
      </c>
      <c r="C17" s="26" t="s">
        <v>122</v>
      </c>
      <c r="D17" s="29"/>
      <c r="E17" s="33" t="s">
        <v>184</v>
      </c>
      <c r="F17" s="32">
        <v>53.4</v>
      </c>
      <c r="G17" s="34" t="str">
        <f t="shared" si="1"/>
        <v>#VALUE!</v>
      </c>
      <c r="H17" s="35" t="str">
        <f t="shared" si="2"/>
        <v>#VALUE!</v>
      </c>
      <c r="I17" s="36" t="str">
        <f t="shared" si="3"/>
        <v>#VALUE!</v>
      </c>
      <c r="J17" s="37">
        <f t="shared" si="4"/>
        <v>0.46</v>
      </c>
      <c r="K17" s="35" t="str">
        <f t="shared" si="5"/>
        <v>#VALUE!</v>
      </c>
      <c r="L17" s="38" t="str">
        <f t="shared" si="6"/>
        <v>#VALUE!</v>
      </c>
      <c r="M17" s="39" t="str">
        <f t="shared" si="7"/>
        <v>#VALUE!</v>
      </c>
      <c r="N17" s="40" t="str">
        <f t="shared" si="8"/>
        <v>#VALUE!</v>
      </c>
    </row>
    <row r="18" ht="18.75" customHeight="1">
      <c r="A18" s="27"/>
      <c r="B18" s="25" t="s">
        <v>188</v>
      </c>
      <c r="C18" s="26" t="s">
        <v>122</v>
      </c>
      <c r="D18" s="100" t="s">
        <v>126</v>
      </c>
      <c r="E18" s="33">
        <v>5.0</v>
      </c>
      <c r="F18" s="32">
        <v>35.9</v>
      </c>
      <c r="G18" s="34">
        <f t="shared" si="1"/>
        <v>278225</v>
      </c>
      <c r="H18" s="35">
        <f t="shared" si="2"/>
        <v>27822.5</v>
      </c>
      <c r="I18" s="36">
        <f t="shared" si="3"/>
        <v>306047.5</v>
      </c>
      <c r="J18" s="37">
        <f t="shared" si="4"/>
        <v>0.46</v>
      </c>
      <c r="K18" s="35">
        <f t="shared" si="5"/>
        <v>15302.375</v>
      </c>
      <c r="L18" s="38">
        <f t="shared" si="6"/>
        <v>321349.875</v>
      </c>
      <c r="M18" s="39">
        <f t="shared" si="7"/>
        <v>388833.3488</v>
      </c>
      <c r="N18" s="40">
        <f t="shared" si="8"/>
        <v>15302.375</v>
      </c>
    </row>
    <row r="19" ht="18.75" customHeight="1">
      <c r="A19" s="27"/>
      <c r="B19" s="25" t="s">
        <v>192</v>
      </c>
      <c r="C19" s="26" t="s">
        <v>122</v>
      </c>
      <c r="D19" s="100" t="s">
        <v>126</v>
      </c>
      <c r="E19" s="33">
        <v>3.0</v>
      </c>
      <c r="F19" s="32">
        <v>35.5</v>
      </c>
      <c r="G19" s="34">
        <f t="shared" si="1"/>
        <v>165075</v>
      </c>
      <c r="H19" s="35">
        <f t="shared" si="2"/>
        <v>16507.5</v>
      </c>
      <c r="I19" s="36">
        <f t="shared" si="3"/>
        <v>181582.5</v>
      </c>
      <c r="J19" s="37">
        <f t="shared" si="4"/>
        <v>0.46</v>
      </c>
      <c r="K19" s="35">
        <f t="shared" si="5"/>
        <v>9079.125</v>
      </c>
      <c r="L19" s="38">
        <f t="shared" si="6"/>
        <v>190661.625</v>
      </c>
      <c r="M19" s="39">
        <f t="shared" si="7"/>
        <v>230700.5663</v>
      </c>
      <c r="N19" s="40">
        <f t="shared" si="8"/>
        <v>9079.125</v>
      </c>
    </row>
    <row r="20" ht="18.75" customHeight="1">
      <c r="A20" s="27"/>
      <c r="B20" s="25" t="s">
        <v>194</v>
      </c>
      <c r="C20" s="26" t="s">
        <v>122</v>
      </c>
      <c r="D20" s="29"/>
      <c r="E20" s="33">
        <v>1.0</v>
      </c>
      <c r="F20" s="32">
        <v>12.15</v>
      </c>
      <c r="G20" s="34">
        <f t="shared" si="1"/>
        <v>18832.5</v>
      </c>
      <c r="H20" s="35">
        <f t="shared" si="2"/>
        <v>1883.25</v>
      </c>
      <c r="I20" s="36">
        <f t="shared" si="3"/>
        <v>20715.75</v>
      </c>
      <c r="J20" s="37">
        <f t="shared" si="4"/>
        <v>0.46</v>
      </c>
      <c r="K20" s="35">
        <f t="shared" si="5"/>
        <v>1035.7875</v>
      </c>
      <c r="L20" s="38">
        <f t="shared" si="6"/>
        <v>21751.5375</v>
      </c>
      <c r="M20" s="39">
        <f t="shared" si="7"/>
        <v>26319.36038</v>
      </c>
      <c r="N20" s="40">
        <f t="shared" si="8"/>
        <v>1035.7875</v>
      </c>
    </row>
    <row r="21" ht="18.75" customHeight="1">
      <c r="A21" s="27"/>
      <c r="B21" s="25" t="s">
        <v>199</v>
      </c>
      <c r="C21" s="26" t="s">
        <v>122</v>
      </c>
      <c r="D21" s="29"/>
      <c r="E21" s="33">
        <v>1.0</v>
      </c>
      <c r="F21" s="32">
        <v>98.0</v>
      </c>
      <c r="G21" s="34">
        <f t="shared" si="1"/>
        <v>151900</v>
      </c>
      <c r="H21" s="35">
        <f t="shared" si="2"/>
        <v>15190</v>
      </c>
      <c r="I21" s="36">
        <f t="shared" si="3"/>
        <v>167090</v>
      </c>
      <c r="J21" s="37">
        <f t="shared" si="4"/>
        <v>0.46</v>
      </c>
      <c r="K21" s="35">
        <f t="shared" si="5"/>
        <v>8354.5</v>
      </c>
      <c r="L21" s="38">
        <f t="shared" si="6"/>
        <v>175444.5</v>
      </c>
      <c r="M21" s="39">
        <f t="shared" si="7"/>
        <v>212287.845</v>
      </c>
      <c r="N21" s="40">
        <f t="shared" si="8"/>
        <v>8354.5</v>
      </c>
    </row>
    <row r="22" ht="18.75" customHeight="1">
      <c r="A22" s="27"/>
      <c r="B22" s="99" t="s">
        <v>58</v>
      </c>
      <c r="C22" s="26"/>
      <c r="D22" s="29"/>
      <c r="E22" s="33">
        <v>0.0</v>
      </c>
      <c r="F22" s="55">
        <v>0.0</v>
      </c>
      <c r="G22" s="34"/>
      <c r="H22" s="35"/>
      <c r="I22" s="36"/>
      <c r="J22" s="37"/>
      <c r="K22" s="35"/>
      <c r="L22" s="38"/>
      <c r="M22" s="39"/>
      <c r="N22" s="40"/>
    </row>
    <row r="23" ht="18.75" customHeight="1">
      <c r="A23" s="27"/>
      <c r="B23" s="25" t="s">
        <v>201</v>
      </c>
      <c r="C23" s="26" t="s">
        <v>122</v>
      </c>
      <c r="D23" s="100" t="s">
        <v>126</v>
      </c>
      <c r="E23" s="33">
        <v>13.0</v>
      </c>
      <c r="F23" s="32">
        <v>14.7</v>
      </c>
      <c r="G23" s="34">
        <f t="shared" ref="G23:G32" si="9">IF(F23=0,0,F23*$B$4*E23)</f>
        <v>296205</v>
      </c>
      <c r="H23" s="35">
        <f t="shared" ref="H23:H32" si="10">IF(F23=0,0,G23*$D$5)</f>
        <v>29620.5</v>
      </c>
      <c r="I23" s="36">
        <f t="shared" ref="I23:I32" si="11">IF(F23=0,0,G23+H23)</f>
        <v>325825.5</v>
      </c>
      <c r="J23" s="37">
        <f t="shared" ref="J23:J32" si="12">$F$4</f>
        <v>0.46</v>
      </c>
      <c r="K23" s="35">
        <f t="shared" ref="K23:K32" si="13">IF(F23=0,0,I23*$J$4)</f>
        <v>16291.275</v>
      </c>
      <c r="L23" s="38">
        <f t="shared" ref="L23:L32" si="14">IF(F23=0,0,I23*(1+$J$7)+K23)</f>
        <v>342116.775</v>
      </c>
      <c r="M23" s="39">
        <f t="shared" ref="M23:M32" si="15">IF(F23=0,0,L23*(1+$D$4))</f>
        <v>413961.2978</v>
      </c>
      <c r="N23" s="40">
        <f t="shared" ref="N23:N32" si="16">IF(F23=0,0,L23-I23)</f>
        <v>16291.275</v>
      </c>
    </row>
    <row r="24" ht="18.75" customHeight="1">
      <c r="A24" s="27"/>
      <c r="B24" s="25" t="s">
        <v>202</v>
      </c>
      <c r="C24" s="26" t="s">
        <v>122</v>
      </c>
      <c r="D24" s="100" t="s">
        <v>126</v>
      </c>
      <c r="E24" s="33">
        <v>1.0</v>
      </c>
      <c r="F24" s="32">
        <v>13.7</v>
      </c>
      <c r="G24" s="34">
        <f t="shared" si="9"/>
        <v>21235</v>
      </c>
      <c r="H24" s="35">
        <f t="shared" si="10"/>
        <v>2123.5</v>
      </c>
      <c r="I24" s="36">
        <f t="shared" si="11"/>
        <v>23358.5</v>
      </c>
      <c r="J24" s="37">
        <f t="shared" si="12"/>
        <v>0.46</v>
      </c>
      <c r="K24" s="35">
        <f t="shared" si="13"/>
        <v>1167.925</v>
      </c>
      <c r="L24" s="38">
        <f t="shared" si="14"/>
        <v>24526.425</v>
      </c>
      <c r="M24" s="39">
        <f t="shared" si="15"/>
        <v>29676.97425</v>
      </c>
      <c r="N24" s="40">
        <f t="shared" si="16"/>
        <v>1167.925</v>
      </c>
    </row>
    <row r="25" ht="18.75" customHeight="1">
      <c r="A25" s="27"/>
      <c r="B25" s="25" t="s">
        <v>203</v>
      </c>
      <c r="C25" s="26" t="s">
        <v>122</v>
      </c>
      <c r="D25" s="100" t="s">
        <v>126</v>
      </c>
      <c r="E25" s="33">
        <v>3.0</v>
      </c>
      <c r="F25" s="32">
        <v>11.5</v>
      </c>
      <c r="G25" s="34">
        <f t="shared" si="9"/>
        <v>53475</v>
      </c>
      <c r="H25" s="35">
        <f t="shared" si="10"/>
        <v>5347.5</v>
      </c>
      <c r="I25" s="36">
        <f t="shared" si="11"/>
        <v>58822.5</v>
      </c>
      <c r="J25" s="37">
        <f t="shared" si="12"/>
        <v>0.46</v>
      </c>
      <c r="K25" s="35">
        <f t="shared" si="13"/>
        <v>2941.125</v>
      </c>
      <c r="L25" s="38">
        <f t="shared" si="14"/>
        <v>61763.625</v>
      </c>
      <c r="M25" s="39">
        <f t="shared" si="15"/>
        <v>74733.98625</v>
      </c>
      <c r="N25" s="40">
        <f t="shared" si="16"/>
        <v>2941.125</v>
      </c>
    </row>
    <row r="26" ht="18.75" customHeight="1">
      <c r="A26" s="27"/>
      <c r="B26" s="25" t="s">
        <v>204</v>
      </c>
      <c r="C26" s="26" t="s">
        <v>122</v>
      </c>
      <c r="D26" s="100" t="s">
        <v>126</v>
      </c>
      <c r="E26" s="33">
        <v>3.0</v>
      </c>
      <c r="F26" s="32">
        <v>24.1</v>
      </c>
      <c r="G26" s="34">
        <f t="shared" si="9"/>
        <v>112065</v>
      </c>
      <c r="H26" s="35">
        <f t="shared" si="10"/>
        <v>11206.5</v>
      </c>
      <c r="I26" s="36">
        <f t="shared" si="11"/>
        <v>123271.5</v>
      </c>
      <c r="J26" s="37">
        <f t="shared" si="12"/>
        <v>0.46</v>
      </c>
      <c r="K26" s="35">
        <f t="shared" si="13"/>
        <v>6163.575</v>
      </c>
      <c r="L26" s="38">
        <f t="shared" si="14"/>
        <v>129435.075</v>
      </c>
      <c r="M26" s="39">
        <f t="shared" si="15"/>
        <v>156616.4408</v>
      </c>
      <c r="N26" s="40">
        <f t="shared" si="16"/>
        <v>6163.575</v>
      </c>
    </row>
    <row r="27" ht="18.75" customHeight="1">
      <c r="A27" s="27"/>
      <c r="B27" s="99" t="s">
        <v>68</v>
      </c>
      <c r="C27" s="26"/>
      <c r="D27" s="29"/>
      <c r="E27" s="33">
        <v>0.0</v>
      </c>
      <c r="F27" s="55">
        <v>0.0</v>
      </c>
      <c r="G27" s="34">
        <f t="shared" si="9"/>
        <v>0</v>
      </c>
      <c r="H27" s="35">
        <f t="shared" si="10"/>
        <v>0</v>
      </c>
      <c r="I27" s="36">
        <f t="shared" si="11"/>
        <v>0</v>
      </c>
      <c r="J27" s="37">
        <f t="shared" si="12"/>
        <v>0.46</v>
      </c>
      <c r="K27" s="35">
        <f t="shared" si="13"/>
        <v>0</v>
      </c>
      <c r="L27" s="38">
        <f t="shared" si="14"/>
        <v>0</v>
      </c>
      <c r="M27" s="39">
        <f t="shared" si="15"/>
        <v>0</v>
      </c>
      <c r="N27" s="40">
        <f t="shared" si="16"/>
        <v>0</v>
      </c>
    </row>
    <row r="28" ht="18.75" customHeight="1">
      <c r="A28" s="27"/>
      <c r="B28" s="25" t="s">
        <v>205</v>
      </c>
      <c r="C28" s="26" t="s">
        <v>122</v>
      </c>
      <c r="D28" s="29"/>
      <c r="E28" s="33" t="s">
        <v>184</v>
      </c>
      <c r="F28" s="32">
        <v>9.1</v>
      </c>
      <c r="G28" s="34" t="str">
        <f t="shared" si="9"/>
        <v>#VALUE!</v>
      </c>
      <c r="H28" s="35" t="str">
        <f t="shared" si="10"/>
        <v>#VALUE!</v>
      </c>
      <c r="I28" s="36" t="str">
        <f t="shared" si="11"/>
        <v>#VALUE!</v>
      </c>
      <c r="J28" s="37">
        <f t="shared" si="12"/>
        <v>0.46</v>
      </c>
      <c r="K28" s="35" t="str">
        <f t="shared" si="13"/>
        <v>#VALUE!</v>
      </c>
      <c r="L28" s="38" t="str">
        <f t="shared" si="14"/>
        <v>#VALUE!</v>
      </c>
      <c r="M28" s="39" t="str">
        <f t="shared" si="15"/>
        <v>#VALUE!</v>
      </c>
      <c r="N28" s="40" t="str">
        <f t="shared" si="16"/>
        <v>#VALUE!</v>
      </c>
    </row>
    <row r="29" ht="18.75" customHeight="1">
      <c r="A29" s="27"/>
      <c r="B29" s="25" t="s">
        <v>206</v>
      </c>
      <c r="C29" s="26" t="s">
        <v>122</v>
      </c>
      <c r="D29" s="100" t="s">
        <v>126</v>
      </c>
      <c r="E29" s="33">
        <v>1.0</v>
      </c>
      <c r="F29" s="32">
        <v>42.9</v>
      </c>
      <c r="G29" s="34">
        <f t="shared" si="9"/>
        <v>66495</v>
      </c>
      <c r="H29" s="35">
        <f t="shared" si="10"/>
        <v>6649.5</v>
      </c>
      <c r="I29" s="36">
        <f t="shared" si="11"/>
        <v>73144.5</v>
      </c>
      <c r="J29" s="37">
        <f t="shared" si="12"/>
        <v>0.46</v>
      </c>
      <c r="K29" s="35">
        <f t="shared" si="13"/>
        <v>3657.225</v>
      </c>
      <c r="L29" s="38">
        <f t="shared" si="14"/>
        <v>76801.725</v>
      </c>
      <c r="M29" s="39">
        <f t="shared" si="15"/>
        <v>92930.08725</v>
      </c>
      <c r="N29" s="40">
        <f t="shared" si="16"/>
        <v>3657.225</v>
      </c>
    </row>
    <row r="30" ht="18.75" customHeight="1">
      <c r="A30" s="27"/>
      <c r="B30" s="99" t="s">
        <v>75</v>
      </c>
      <c r="C30" s="26"/>
      <c r="D30" s="29"/>
      <c r="E30" s="33">
        <v>0.0</v>
      </c>
      <c r="F30" s="55">
        <v>0.0</v>
      </c>
      <c r="G30" s="34">
        <f t="shared" si="9"/>
        <v>0</v>
      </c>
      <c r="H30" s="35">
        <f t="shared" si="10"/>
        <v>0</v>
      </c>
      <c r="I30" s="36">
        <f t="shared" si="11"/>
        <v>0</v>
      </c>
      <c r="J30" s="37">
        <f t="shared" si="12"/>
        <v>0.46</v>
      </c>
      <c r="K30" s="35">
        <f t="shared" si="13"/>
        <v>0</v>
      </c>
      <c r="L30" s="38">
        <f t="shared" si="14"/>
        <v>0</v>
      </c>
      <c r="M30" s="39">
        <f t="shared" si="15"/>
        <v>0</v>
      </c>
      <c r="N30" s="40">
        <f t="shared" si="16"/>
        <v>0</v>
      </c>
    </row>
    <row r="31" ht="18.75" customHeight="1">
      <c r="A31" s="27"/>
      <c r="B31" s="25" t="s">
        <v>207</v>
      </c>
      <c r="C31" s="26" t="s">
        <v>122</v>
      </c>
      <c r="D31" s="100" t="s">
        <v>126</v>
      </c>
      <c r="E31" s="33">
        <v>1.0</v>
      </c>
      <c r="F31" s="32">
        <v>129.9</v>
      </c>
      <c r="G31" s="34">
        <f t="shared" si="9"/>
        <v>201345</v>
      </c>
      <c r="H31" s="35">
        <f t="shared" si="10"/>
        <v>20134.5</v>
      </c>
      <c r="I31" s="36">
        <f t="shared" si="11"/>
        <v>221479.5</v>
      </c>
      <c r="J31" s="37">
        <f t="shared" si="12"/>
        <v>0.46</v>
      </c>
      <c r="K31" s="35">
        <f t="shared" si="13"/>
        <v>11073.975</v>
      </c>
      <c r="L31" s="38">
        <f t="shared" si="14"/>
        <v>232553.475</v>
      </c>
      <c r="M31" s="39">
        <f t="shared" si="15"/>
        <v>281389.7048</v>
      </c>
      <c r="N31" s="40">
        <f t="shared" si="16"/>
        <v>11073.975</v>
      </c>
    </row>
    <row r="32" ht="18.75" customHeight="1">
      <c r="A32" s="27"/>
      <c r="B32" s="25" t="s">
        <v>80</v>
      </c>
      <c r="C32" s="26"/>
      <c r="D32" s="29"/>
      <c r="E32" s="33">
        <v>0.0</v>
      </c>
      <c r="F32" s="55">
        <v>0.0</v>
      </c>
      <c r="G32" s="34">
        <f t="shared" si="9"/>
        <v>0</v>
      </c>
      <c r="H32" s="35">
        <f t="shared" si="10"/>
        <v>0</v>
      </c>
      <c r="I32" s="36">
        <f t="shared" si="11"/>
        <v>0</v>
      </c>
      <c r="J32" s="37">
        <f t="shared" si="12"/>
        <v>0.46</v>
      </c>
      <c r="K32" s="35">
        <f t="shared" si="13"/>
        <v>0</v>
      </c>
      <c r="L32" s="38">
        <f t="shared" si="14"/>
        <v>0</v>
      </c>
      <c r="M32" s="39">
        <f t="shared" si="15"/>
        <v>0</v>
      </c>
      <c r="N32" s="40">
        <f t="shared" si="16"/>
        <v>0</v>
      </c>
    </row>
    <row r="33" ht="18.75" customHeight="1">
      <c r="A33" s="27"/>
      <c r="B33" s="99" t="s">
        <v>82</v>
      </c>
      <c r="C33" s="26"/>
      <c r="D33" s="29"/>
      <c r="E33" s="33">
        <v>0.0</v>
      </c>
      <c r="F33" s="55">
        <v>0.0</v>
      </c>
      <c r="G33" s="34"/>
      <c r="H33" s="35"/>
      <c r="I33" s="36"/>
      <c r="J33" s="37"/>
      <c r="K33" s="35"/>
      <c r="L33" s="38"/>
      <c r="M33" s="39"/>
      <c r="N33" s="40"/>
    </row>
    <row r="34" ht="18.75" customHeight="1">
      <c r="A34" s="27"/>
      <c r="B34" s="25" t="s">
        <v>208</v>
      </c>
      <c r="C34" s="26" t="s">
        <v>122</v>
      </c>
      <c r="D34" s="100" t="s">
        <v>99</v>
      </c>
      <c r="E34" s="33">
        <v>0.0</v>
      </c>
      <c r="F34" s="32">
        <v>339.96</v>
      </c>
      <c r="G34" s="34">
        <f t="shared" ref="G34:G42" si="17">IF(F34=0,0,F34*$B$4*E34)</f>
        <v>0</v>
      </c>
      <c r="H34" s="35">
        <f t="shared" ref="H34:H42" si="18">IF(F34=0,0,G34*$D$5)</f>
        <v>0</v>
      </c>
      <c r="I34" s="36">
        <f t="shared" ref="I34:I42" si="19">IF(F34=0,0,G34+H34)</f>
        <v>0</v>
      </c>
      <c r="J34" s="37">
        <f t="shared" ref="J34:J42" si="20">$F$4</f>
        <v>0.46</v>
      </c>
      <c r="K34" s="35">
        <f t="shared" ref="K34:K42" si="21">IF(F34=0,0,I34*$J$4)</f>
        <v>0</v>
      </c>
      <c r="L34" s="38">
        <f t="shared" ref="L34:L42" si="22">IF(F34=0,0,I34*(1+$J$7)+K34)</f>
        <v>0</v>
      </c>
      <c r="M34" s="39">
        <f t="shared" ref="M34:M42" si="23">IF(F34=0,0,L34*(1+$D$4))</f>
        <v>0</v>
      </c>
      <c r="N34" s="40">
        <f t="shared" ref="N34:N42" si="24">IF(F34=0,0,L34-I34)</f>
        <v>0</v>
      </c>
    </row>
    <row r="35" ht="18.75" customHeight="1">
      <c r="A35" s="27"/>
      <c r="B35" s="25" t="s">
        <v>209</v>
      </c>
      <c r="C35" s="26" t="s">
        <v>122</v>
      </c>
      <c r="D35" s="100" t="s">
        <v>99</v>
      </c>
      <c r="E35" s="33">
        <v>0.0</v>
      </c>
      <c r="F35" s="32">
        <v>163.0</v>
      </c>
      <c r="G35" s="34">
        <f t="shared" si="17"/>
        <v>0</v>
      </c>
      <c r="H35" s="35">
        <f t="shared" si="18"/>
        <v>0</v>
      </c>
      <c r="I35" s="36">
        <f t="shared" si="19"/>
        <v>0</v>
      </c>
      <c r="J35" s="37">
        <f t="shared" si="20"/>
        <v>0.46</v>
      </c>
      <c r="K35" s="35">
        <f t="shared" si="21"/>
        <v>0</v>
      </c>
      <c r="L35" s="38">
        <f t="shared" si="22"/>
        <v>0</v>
      </c>
      <c r="M35" s="39">
        <f t="shared" si="23"/>
        <v>0</v>
      </c>
      <c r="N35" s="40">
        <f t="shared" si="24"/>
        <v>0</v>
      </c>
    </row>
    <row r="36" ht="18.75" customHeight="1">
      <c r="A36" s="27"/>
      <c r="B36" s="25" t="s">
        <v>210</v>
      </c>
      <c r="C36" s="26" t="s">
        <v>122</v>
      </c>
      <c r="D36" s="100" t="s">
        <v>99</v>
      </c>
      <c r="E36" s="33">
        <v>0.0</v>
      </c>
      <c r="F36" s="32">
        <v>15.56</v>
      </c>
      <c r="G36" s="34">
        <f t="shared" si="17"/>
        <v>0</v>
      </c>
      <c r="H36" s="35">
        <f t="shared" si="18"/>
        <v>0</v>
      </c>
      <c r="I36" s="36">
        <f t="shared" si="19"/>
        <v>0</v>
      </c>
      <c r="J36" s="37">
        <f t="shared" si="20"/>
        <v>0.46</v>
      </c>
      <c r="K36" s="35">
        <f t="shared" si="21"/>
        <v>0</v>
      </c>
      <c r="L36" s="38">
        <f t="shared" si="22"/>
        <v>0</v>
      </c>
      <c r="M36" s="39">
        <f t="shared" si="23"/>
        <v>0</v>
      </c>
      <c r="N36" s="40">
        <f t="shared" si="24"/>
        <v>0</v>
      </c>
    </row>
    <row r="37" ht="18.75" customHeight="1">
      <c r="A37" s="27"/>
      <c r="B37" s="25" t="s">
        <v>211</v>
      </c>
      <c r="C37" s="26" t="s">
        <v>122</v>
      </c>
      <c r="D37" s="100" t="s">
        <v>99</v>
      </c>
      <c r="E37" s="33">
        <v>0.0</v>
      </c>
      <c r="F37" s="32">
        <v>73.86</v>
      </c>
      <c r="G37" s="34">
        <f t="shared" si="17"/>
        <v>0</v>
      </c>
      <c r="H37" s="35">
        <f t="shared" si="18"/>
        <v>0</v>
      </c>
      <c r="I37" s="36">
        <f t="shared" si="19"/>
        <v>0</v>
      </c>
      <c r="J37" s="37">
        <f t="shared" si="20"/>
        <v>0.46</v>
      </c>
      <c r="K37" s="35">
        <f t="shared" si="21"/>
        <v>0</v>
      </c>
      <c r="L37" s="38">
        <f t="shared" si="22"/>
        <v>0</v>
      </c>
      <c r="M37" s="39">
        <f t="shared" si="23"/>
        <v>0</v>
      </c>
      <c r="N37" s="40">
        <f t="shared" si="24"/>
        <v>0</v>
      </c>
    </row>
    <row r="38" ht="18.75" customHeight="1">
      <c r="A38" s="27"/>
      <c r="B38" s="25" t="s">
        <v>212</v>
      </c>
      <c r="C38" s="26" t="s">
        <v>122</v>
      </c>
      <c r="D38" s="100" t="s">
        <v>99</v>
      </c>
      <c r="E38" s="33">
        <v>0.0</v>
      </c>
      <c r="F38" s="32">
        <v>81.46</v>
      </c>
      <c r="G38" s="34">
        <f t="shared" si="17"/>
        <v>0</v>
      </c>
      <c r="H38" s="35">
        <f t="shared" si="18"/>
        <v>0</v>
      </c>
      <c r="I38" s="36">
        <f t="shared" si="19"/>
        <v>0</v>
      </c>
      <c r="J38" s="37">
        <f t="shared" si="20"/>
        <v>0.46</v>
      </c>
      <c r="K38" s="35">
        <f t="shared" si="21"/>
        <v>0</v>
      </c>
      <c r="L38" s="38">
        <f t="shared" si="22"/>
        <v>0</v>
      </c>
      <c r="M38" s="39">
        <f t="shared" si="23"/>
        <v>0</v>
      </c>
      <c r="N38" s="40">
        <f t="shared" si="24"/>
        <v>0</v>
      </c>
    </row>
    <row r="39" ht="18.75" customHeight="1">
      <c r="A39" s="27"/>
      <c r="B39" s="25" t="s">
        <v>213</v>
      </c>
      <c r="C39" s="26" t="s">
        <v>122</v>
      </c>
      <c r="D39" s="100" t="s">
        <v>99</v>
      </c>
      <c r="E39" s="33">
        <v>0.0</v>
      </c>
      <c r="F39" s="32">
        <v>234.97</v>
      </c>
      <c r="G39" s="34">
        <f t="shared" si="17"/>
        <v>0</v>
      </c>
      <c r="H39" s="35">
        <f t="shared" si="18"/>
        <v>0</v>
      </c>
      <c r="I39" s="36">
        <f t="shared" si="19"/>
        <v>0</v>
      </c>
      <c r="J39" s="37">
        <f t="shared" si="20"/>
        <v>0.46</v>
      </c>
      <c r="K39" s="35">
        <f t="shared" si="21"/>
        <v>0</v>
      </c>
      <c r="L39" s="38">
        <f t="shared" si="22"/>
        <v>0</v>
      </c>
      <c r="M39" s="39">
        <f t="shared" si="23"/>
        <v>0</v>
      </c>
      <c r="N39" s="40">
        <f t="shared" si="24"/>
        <v>0</v>
      </c>
    </row>
    <row r="40" ht="18.75" customHeight="1">
      <c r="A40" s="27"/>
      <c r="B40" s="25" t="s">
        <v>214</v>
      </c>
      <c r="C40" s="26" t="s">
        <v>122</v>
      </c>
      <c r="D40" s="100" t="s">
        <v>99</v>
      </c>
      <c r="E40" s="33">
        <v>0.0</v>
      </c>
      <c r="F40" s="32">
        <v>199.0</v>
      </c>
      <c r="G40" s="34">
        <f t="shared" si="17"/>
        <v>0</v>
      </c>
      <c r="H40" s="35">
        <f t="shared" si="18"/>
        <v>0</v>
      </c>
      <c r="I40" s="36">
        <f t="shared" si="19"/>
        <v>0</v>
      </c>
      <c r="J40" s="37">
        <f t="shared" si="20"/>
        <v>0.46</v>
      </c>
      <c r="K40" s="35">
        <f t="shared" si="21"/>
        <v>0</v>
      </c>
      <c r="L40" s="38">
        <f t="shared" si="22"/>
        <v>0</v>
      </c>
      <c r="M40" s="39">
        <f t="shared" si="23"/>
        <v>0</v>
      </c>
      <c r="N40" s="40">
        <f t="shared" si="24"/>
        <v>0</v>
      </c>
    </row>
    <row r="41" ht="18.75" customHeight="1">
      <c r="A41" s="27"/>
      <c r="B41" s="25" t="s">
        <v>215</v>
      </c>
      <c r="C41" s="26" t="s">
        <v>122</v>
      </c>
      <c r="D41" s="100" t="s">
        <v>99</v>
      </c>
      <c r="E41" s="33">
        <v>0.0</v>
      </c>
      <c r="F41" s="32">
        <v>9.0</v>
      </c>
      <c r="G41" s="34">
        <f t="shared" si="17"/>
        <v>0</v>
      </c>
      <c r="H41" s="35">
        <f t="shared" si="18"/>
        <v>0</v>
      </c>
      <c r="I41" s="36">
        <f t="shared" si="19"/>
        <v>0</v>
      </c>
      <c r="J41" s="37">
        <f t="shared" si="20"/>
        <v>0.46</v>
      </c>
      <c r="K41" s="35">
        <f t="shared" si="21"/>
        <v>0</v>
      </c>
      <c r="L41" s="38">
        <f t="shared" si="22"/>
        <v>0</v>
      </c>
      <c r="M41" s="39">
        <f t="shared" si="23"/>
        <v>0</v>
      </c>
      <c r="N41" s="40">
        <f t="shared" si="24"/>
        <v>0</v>
      </c>
    </row>
    <row r="42" ht="18.75" customHeight="1">
      <c r="A42" s="27"/>
      <c r="B42" s="25" t="s">
        <v>216</v>
      </c>
      <c r="C42" s="26"/>
      <c r="D42" s="100" t="s">
        <v>126</v>
      </c>
      <c r="E42" s="33">
        <v>1.0</v>
      </c>
      <c r="F42" s="32">
        <v>100.0</v>
      </c>
      <c r="G42" s="34">
        <f t="shared" si="17"/>
        <v>155000</v>
      </c>
      <c r="H42" s="35">
        <f t="shared" si="18"/>
        <v>15500</v>
      </c>
      <c r="I42" s="36">
        <f t="shared" si="19"/>
        <v>170500</v>
      </c>
      <c r="J42" s="37">
        <f t="shared" si="20"/>
        <v>0.46</v>
      </c>
      <c r="K42" s="35">
        <f t="shared" si="21"/>
        <v>8525</v>
      </c>
      <c r="L42" s="38">
        <f t="shared" si="22"/>
        <v>179025</v>
      </c>
      <c r="M42" s="39">
        <f t="shared" si="23"/>
        <v>216620.25</v>
      </c>
      <c r="N42" s="40">
        <f t="shared" si="24"/>
        <v>8525</v>
      </c>
    </row>
    <row r="43" ht="18.75" customHeight="1">
      <c r="A43" s="27"/>
      <c r="B43" s="99" t="s">
        <v>92</v>
      </c>
      <c r="C43" s="26"/>
      <c r="D43" s="29"/>
      <c r="E43" s="33">
        <v>0.0</v>
      </c>
      <c r="F43" s="55">
        <v>0.0</v>
      </c>
      <c r="G43" s="34"/>
      <c r="H43" s="35"/>
      <c r="I43" s="36"/>
      <c r="J43" s="37"/>
      <c r="K43" s="35"/>
      <c r="L43" s="38"/>
      <c r="M43" s="39"/>
      <c r="N43" s="40"/>
    </row>
    <row r="44" ht="18.75" customHeight="1">
      <c r="A44" s="27"/>
      <c r="B44" s="25" t="s">
        <v>93</v>
      </c>
      <c r="C44" s="26"/>
      <c r="D44" s="29"/>
      <c r="E44" s="33">
        <v>0.0</v>
      </c>
      <c r="F44" s="55">
        <v>0.0</v>
      </c>
      <c r="G44" s="34">
        <f t="shared" ref="G44:G46" si="25">IF(F44=0,0,F44*$B$4*E44)</f>
        <v>0</v>
      </c>
      <c r="H44" s="35">
        <f t="shared" ref="H44:H46" si="26">IF(F44=0,0,G44*$D$5)</f>
        <v>0</v>
      </c>
      <c r="I44" s="36">
        <f t="shared" ref="I44:I46" si="27">IF(F44=0,0,G44+H44)</f>
        <v>0</v>
      </c>
      <c r="J44" s="37">
        <f t="shared" ref="J44:J46" si="28">$F$4</f>
        <v>0.46</v>
      </c>
      <c r="K44" s="35">
        <f t="shared" ref="K44:K46" si="29">IF(F44=0,0,I44*$J$4)</f>
        <v>0</v>
      </c>
      <c r="L44" s="38">
        <f t="shared" ref="L44:L46" si="30">IF(F44=0,0,I44*(1+$J$7)+K44)</f>
        <v>0</v>
      </c>
      <c r="M44" s="39">
        <f t="shared" ref="M44:M46" si="31">IF(F44=0,0,L44*(1+$D$4))</f>
        <v>0</v>
      </c>
      <c r="N44" s="40">
        <f t="shared" ref="N44:N46" si="32">IF(F44=0,0,L44-I44)</f>
        <v>0</v>
      </c>
    </row>
    <row r="45" ht="18.75" customHeight="1">
      <c r="A45" s="27"/>
      <c r="B45" s="25" t="s">
        <v>94</v>
      </c>
      <c r="C45" s="26"/>
      <c r="D45" s="29"/>
      <c r="E45" s="33">
        <v>0.0</v>
      </c>
      <c r="F45" s="55">
        <v>0.0</v>
      </c>
      <c r="G45" s="34">
        <f t="shared" si="25"/>
        <v>0</v>
      </c>
      <c r="H45" s="35">
        <f t="shared" si="26"/>
        <v>0</v>
      </c>
      <c r="I45" s="36">
        <f t="shared" si="27"/>
        <v>0</v>
      </c>
      <c r="J45" s="37">
        <f t="shared" si="28"/>
        <v>0.46</v>
      </c>
      <c r="K45" s="35">
        <f t="shared" si="29"/>
        <v>0</v>
      </c>
      <c r="L45" s="38">
        <f t="shared" si="30"/>
        <v>0</v>
      </c>
      <c r="M45" s="39">
        <f t="shared" si="31"/>
        <v>0</v>
      </c>
      <c r="N45" s="40">
        <f t="shared" si="32"/>
        <v>0</v>
      </c>
    </row>
    <row r="46" ht="18.75" customHeight="1">
      <c r="A46" s="27"/>
      <c r="B46" s="25" t="s">
        <v>95</v>
      </c>
      <c r="C46" s="26"/>
      <c r="D46" s="29"/>
      <c r="E46" s="33">
        <v>0.0</v>
      </c>
      <c r="F46" s="55">
        <v>0.0</v>
      </c>
      <c r="G46" s="34">
        <f t="shared" si="25"/>
        <v>0</v>
      </c>
      <c r="H46" s="35">
        <f t="shared" si="26"/>
        <v>0</v>
      </c>
      <c r="I46" s="36">
        <f t="shared" si="27"/>
        <v>0</v>
      </c>
      <c r="J46" s="37">
        <f t="shared" si="28"/>
        <v>0.46</v>
      </c>
      <c r="K46" s="35">
        <f t="shared" si="29"/>
        <v>0</v>
      </c>
      <c r="L46" s="38">
        <f t="shared" si="30"/>
        <v>0</v>
      </c>
      <c r="M46" s="39">
        <f t="shared" si="31"/>
        <v>0</v>
      </c>
      <c r="N46" s="40">
        <f t="shared" si="32"/>
        <v>0</v>
      </c>
    </row>
    <row r="47" ht="18.75" customHeight="1">
      <c r="A47" s="27"/>
      <c r="B47" s="25"/>
      <c r="C47" s="26"/>
      <c r="D47" s="29"/>
      <c r="E47" s="33"/>
      <c r="F47" s="55"/>
      <c r="G47" s="34"/>
      <c r="H47" s="35"/>
      <c r="I47" s="36"/>
      <c r="J47" s="37"/>
      <c r="K47" s="35"/>
      <c r="L47" s="38"/>
      <c r="M47" s="39"/>
      <c r="N47" s="40"/>
    </row>
    <row r="48" ht="18.75" customHeight="1">
      <c r="A48" s="27"/>
      <c r="B48" s="77" t="s">
        <v>96</v>
      </c>
      <c r="C48" s="77" t="s">
        <v>72</v>
      </c>
      <c r="D48" s="79" t="s">
        <v>73</v>
      </c>
      <c r="E48" s="80">
        <v>1.0</v>
      </c>
      <c r="F48" s="92">
        <v>50.0</v>
      </c>
      <c r="G48" s="82">
        <f>IF(F48=0,0,F48*$B$4*E48)</f>
        <v>77500</v>
      </c>
      <c r="H48" s="93">
        <v>0.0</v>
      </c>
      <c r="I48" s="85">
        <f>IF(F48=0,0,G48+H48)</f>
        <v>77500</v>
      </c>
      <c r="J48" s="86">
        <f>$F$4</f>
        <v>0.46</v>
      </c>
      <c r="K48" s="93">
        <v>0.0</v>
      </c>
      <c r="L48" s="87">
        <f>IF(F48=0,0,I48*(1+$J$7)+K48)</f>
        <v>77500</v>
      </c>
      <c r="M48" s="87">
        <f>IF(F48=0,0,L48*(1+$D$4))</f>
        <v>93775</v>
      </c>
      <c r="N48" s="88">
        <f>IF(F48=0,0,L48-I48)</f>
        <v>0</v>
      </c>
    </row>
    <row r="49" ht="24.0" customHeight="1">
      <c r="A49" s="41"/>
      <c r="B49" s="42" t="s">
        <v>37</v>
      </c>
      <c r="C49" s="43"/>
      <c r="D49" s="43"/>
      <c r="E49" s="44"/>
      <c r="F49" s="45">
        <f t="shared" ref="F49:I49" si="33">SUM(F7:F48)</f>
        <v>2170.48</v>
      </c>
      <c r="G49" s="46" t="str">
        <f t="shared" si="33"/>
        <v>#VALUE!</v>
      </c>
      <c r="H49" s="46" t="str">
        <f t="shared" si="33"/>
        <v>#VALUE!</v>
      </c>
      <c r="I49" s="46" t="str">
        <f t="shared" si="33"/>
        <v>#VALUE!</v>
      </c>
      <c r="J49" s="47">
        <f>F4</f>
        <v>0.46</v>
      </c>
      <c r="K49" s="46" t="str">
        <f t="shared" ref="K49:N49" si="34">SUM(K7:K48)</f>
        <v>#VALUE!</v>
      </c>
      <c r="L49" s="46" t="str">
        <f t="shared" si="34"/>
        <v>#VALUE!</v>
      </c>
      <c r="M49" s="46" t="str">
        <f t="shared" si="34"/>
        <v>#VALUE!</v>
      </c>
      <c r="N49" s="46" t="str">
        <f t="shared" si="34"/>
        <v>#VALUE!</v>
      </c>
    </row>
    <row r="50" ht="15.75" customHeight="1"/>
    <row r="51" ht="15.75" customHeight="1"/>
    <row r="52" ht="15.75" customHeight="1"/>
    <row r="53" ht="15.75" customHeight="1"/>
    <row r="54">
      <c r="G54" s="48" t="s">
        <v>40</v>
      </c>
      <c r="H54" s="49"/>
      <c r="I54" s="49"/>
      <c r="J54" s="49"/>
      <c r="K54" s="49"/>
      <c r="L54" s="49"/>
      <c r="M54" s="49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G55" s="52" t="s">
        <v>42</v>
      </c>
      <c r="H55" s="49"/>
      <c r="I55" s="49"/>
      <c r="J55" s="49"/>
      <c r="K55" s="49"/>
      <c r="L55" s="49"/>
      <c r="M55" s="49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G56" s="53" t="s">
        <v>43</v>
      </c>
      <c r="H56" s="53" t="s">
        <v>44</v>
      </c>
      <c r="I56" s="54" t="s">
        <v>45</v>
      </c>
      <c r="J56" s="54" t="s">
        <v>46</v>
      </c>
      <c r="K56" s="54" t="s">
        <v>47</v>
      </c>
      <c r="L56" s="54" t="s">
        <v>48</v>
      </c>
      <c r="M56" s="54" t="s">
        <v>50</v>
      </c>
      <c r="N56" s="54" t="s">
        <v>51</v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G57" s="56">
        <v>0.0</v>
      </c>
      <c r="H57" s="56">
        <v>0.0</v>
      </c>
      <c r="I57" s="57">
        <f t="shared" ref="I57:I59" si="35">IF(G57*H57=0,0,G57*H57*8)</f>
        <v>0</v>
      </c>
      <c r="J57" s="58">
        <v>15.125</v>
      </c>
      <c r="K57" s="59">
        <f t="shared" ref="K57:K59" si="36">IF(I57*J57=0,0,I57*J57)</f>
        <v>0</v>
      </c>
      <c r="L57" s="59">
        <f t="shared" ref="L57:L59" si="37">IF(K57=0,0,K57*(1+$D$4))</f>
        <v>0</v>
      </c>
      <c r="M57" s="60">
        <f t="shared" ref="M57:M59" si="38">IF(K57=0,0,K57*$B$4)</f>
        <v>0</v>
      </c>
      <c r="N57" s="61">
        <f t="shared" ref="N57:N59" si="39">IF(M57=0,0,M57*(1+$D$4))</f>
        <v>0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G58" s="62">
        <v>0.0</v>
      </c>
      <c r="H58" s="62">
        <v>0.0</v>
      </c>
      <c r="I58" s="57">
        <f t="shared" si="35"/>
        <v>0</v>
      </c>
      <c r="J58" s="58">
        <v>15.125</v>
      </c>
      <c r="K58" s="59">
        <f t="shared" si="36"/>
        <v>0</v>
      </c>
      <c r="L58" s="59">
        <f t="shared" si="37"/>
        <v>0</v>
      </c>
      <c r="M58" s="60">
        <f t="shared" si="38"/>
        <v>0</v>
      </c>
      <c r="N58" s="61">
        <f t="shared" si="39"/>
        <v>0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G59" s="62">
        <v>0.0</v>
      </c>
      <c r="H59" s="62">
        <v>0.0</v>
      </c>
      <c r="I59" s="57">
        <f t="shared" si="35"/>
        <v>0</v>
      </c>
      <c r="J59" s="58">
        <v>15.125</v>
      </c>
      <c r="K59" s="59">
        <f t="shared" si="36"/>
        <v>0</v>
      </c>
      <c r="L59" s="59">
        <f t="shared" si="37"/>
        <v>0</v>
      </c>
      <c r="M59" s="60">
        <f t="shared" si="38"/>
        <v>0</v>
      </c>
      <c r="N59" s="61">
        <f t="shared" si="39"/>
        <v>0</v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G60" s="63" t="s">
        <v>56</v>
      </c>
      <c r="H60" s="49"/>
      <c r="I60" s="49"/>
      <c r="J60" s="50"/>
      <c r="K60" s="64">
        <f t="shared" ref="K60:N60" si="40">SUM(K57:K59)</f>
        <v>0</v>
      </c>
      <c r="L60" s="65">
        <f t="shared" si="40"/>
        <v>0</v>
      </c>
      <c r="M60" s="65">
        <f t="shared" si="40"/>
        <v>0</v>
      </c>
      <c r="N60" s="65">
        <f t="shared" si="40"/>
        <v>0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66" t="s">
        <v>59</v>
      </c>
      <c r="H62" s="49"/>
      <c r="I62" s="49"/>
      <c r="J62" s="49"/>
      <c r="K62" s="49"/>
      <c r="L62" s="49"/>
      <c r="M62" s="49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67" t="s">
        <v>60</v>
      </c>
      <c r="H63" s="68" t="s">
        <v>61</v>
      </c>
      <c r="I63" s="68" t="s">
        <v>62</v>
      </c>
      <c r="J63" s="67" t="s">
        <v>63</v>
      </c>
      <c r="K63" s="68" t="s">
        <v>47</v>
      </c>
      <c r="L63" s="68" t="s">
        <v>48</v>
      </c>
      <c r="M63" s="68" t="s">
        <v>50</v>
      </c>
      <c r="N63" s="68" t="s">
        <v>51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6">
        <v>0.0</v>
      </c>
      <c r="H64" s="56">
        <f t="shared" ref="H64:H66" si="41">G64</f>
        <v>0</v>
      </c>
      <c r="I64" s="69">
        <f t="shared" ref="I64:I66" si="42">IF(G64*2=0,0,G64*2)</f>
        <v>0</v>
      </c>
      <c r="J64" s="58">
        <v>1.331</v>
      </c>
      <c r="K64" s="70">
        <f t="shared" ref="K64:K66" si="43">IF(I64*J64=0,0,I64*J64)</f>
        <v>0</v>
      </c>
      <c r="L64" s="71">
        <f t="shared" ref="L64:L66" si="44">IF(K64=0,0,K64*$B$4*(1+$D$4))</f>
        <v>0</v>
      </c>
      <c r="M64" s="72">
        <f t="shared" ref="M64:M66" si="45">IF(K64=0,0,K64*$B$4)</f>
        <v>0</v>
      </c>
      <c r="N64" s="73">
        <f t="shared" ref="N64:N66" si="46">IF(M64=0,0,M64*(1+$D$4))</f>
        <v>0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62">
        <v>0.0</v>
      </c>
      <c r="H65" s="56">
        <f t="shared" si="41"/>
        <v>0</v>
      </c>
      <c r="I65" s="69">
        <f t="shared" si="42"/>
        <v>0</v>
      </c>
      <c r="J65" s="58">
        <v>1.331</v>
      </c>
      <c r="K65" s="70">
        <f t="shared" si="43"/>
        <v>0</v>
      </c>
      <c r="L65" s="71">
        <f t="shared" si="44"/>
        <v>0</v>
      </c>
      <c r="M65" s="72">
        <f t="shared" si="45"/>
        <v>0</v>
      </c>
      <c r="N65" s="73">
        <f t="shared" si="46"/>
        <v>0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G66" s="62">
        <v>0.0</v>
      </c>
      <c r="H66" s="56">
        <f t="shared" si="41"/>
        <v>0</v>
      </c>
      <c r="I66" s="69">
        <f t="shared" si="42"/>
        <v>0</v>
      </c>
      <c r="J66" s="58">
        <v>1.331</v>
      </c>
      <c r="K66" s="70">
        <f t="shared" si="43"/>
        <v>0</v>
      </c>
      <c r="L66" s="71">
        <f t="shared" si="44"/>
        <v>0</v>
      </c>
      <c r="M66" s="72">
        <f t="shared" si="45"/>
        <v>0</v>
      </c>
      <c r="N66" s="73">
        <f t="shared" si="46"/>
        <v>0</v>
      </c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G67" s="74" t="s">
        <v>69</v>
      </c>
      <c r="H67" s="49"/>
      <c r="I67" s="49"/>
      <c r="J67" s="50"/>
      <c r="K67" s="76">
        <f t="shared" ref="K67:N67" si="47">SUM(K64:K66)</f>
        <v>0</v>
      </c>
      <c r="L67" s="78">
        <f t="shared" si="47"/>
        <v>0</v>
      </c>
      <c r="M67" s="78">
        <f t="shared" si="47"/>
        <v>0</v>
      </c>
      <c r="N67" s="78">
        <f t="shared" si="47"/>
        <v>0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/>
    <row r="70" ht="15.75" customHeight="1"/>
    <row r="71" ht="16.5" customHeight="1">
      <c r="A71" s="48" t="s">
        <v>76</v>
      </c>
      <c r="B71" s="49"/>
      <c r="C71" s="49"/>
      <c r="D71" s="50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6.5" customHeight="1">
      <c r="A72" s="52" t="s">
        <v>77</v>
      </c>
      <c r="B72" s="49"/>
      <c r="C72" s="49"/>
      <c r="D72" s="50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26.25" customHeight="1">
      <c r="A73" s="54" t="s">
        <v>16</v>
      </c>
      <c r="B73" s="54" t="s">
        <v>79</v>
      </c>
      <c r="C73" s="54" t="s">
        <v>27</v>
      </c>
      <c r="D73" s="54" t="s">
        <v>28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6.5" customHeight="1">
      <c r="A74" s="90">
        <v>1.0</v>
      </c>
      <c r="B74" s="90" t="s">
        <v>81</v>
      </c>
      <c r="C74" s="91" t="str">
        <f t="shared" ref="C74:D74" si="48">L49</f>
        <v>#VALUE!</v>
      </c>
      <c r="D74" s="91" t="str">
        <f t="shared" si="48"/>
        <v>#VALUE!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6.5" customHeight="1">
      <c r="A75" s="90">
        <v>2.0</v>
      </c>
      <c r="B75" s="90" t="s">
        <v>42</v>
      </c>
      <c r="C75" s="91">
        <f t="shared" ref="C75:D75" si="49">M60</f>
        <v>0</v>
      </c>
      <c r="D75" s="91">
        <f t="shared" si="49"/>
        <v>0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6.5" customHeight="1">
      <c r="A76" s="90">
        <v>3.0</v>
      </c>
      <c r="B76" s="90" t="s">
        <v>59</v>
      </c>
      <c r="C76" s="91">
        <f t="shared" ref="C76:D76" si="50">M67</f>
        <v>0</v>
      </c>
      <c r="D76" s="91">
        <f t="shared" si="50"/>
        <v>0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6.5" customHeight="1">
      <c r="A77" s="94" t="s">
        <v>84</v>
      </c>
      <c r="B77" s="50"/>
      <c r="C77" s="65" t="str">
        <f t="shared" ref="C77:D77" si="51">SUM(C74:C76)</f>
        <v>#VALUE!</v>
      </c>
      <c r="D77" s="65" t="str">
        <f t="shared" si="51"/>
        <v>#VALUE!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3">
    <mergeCell ref="G60:J60"/>
    <mergeCell ref="G62:N62"/>
    <mergeCell ref="G67:J67"/>
    <mergeCell ref="A71:D71"/>
    <mergeCell ref="A72:D72"/>
    <mergeCell ref="A77:B77"/>
    <mergeCell ref="A1:N1"/>
    <mergeCell ref="A2:N2"/>
    <mergeCell ref="A3:N3"/>
    <mergeCell ref="K4:N5"/>
    <mergeCell ref="A8:A10"/>
    <mergeCell ref="G54:N54"/>
    <mergeCell ref="G55:N55"/>
  </mergeCells>
  <conditionalFormatting sqref="J7:J48">
    <cfRule type="cellIs" dxfId="0" priority="1" operator="lessThan">
      <formula>$H$4</formula>
    </cfRule>
  </conditionalFormatting>
  <conditionalFormatting sqref="J7:J48">
    <cfRule type="cellIs" dxfId="1" priority="2" operator="greaterThanOrEqual">
      <formula>$F$4</formula>
    </cfRule>
  </conditionalFormatting>
  <conditionalFormatting sqref="J7:J48">
    <cfRule type="cellIs" dxfId="2" priority="3" operator="between">
      <formula>$H$4</formula>
      <formula>$F$4</formula>
    </cfRule>
  </conditionalFormatting>
  <dataValidations>
    <dataValidation type="list" allowBlank="1" sqref="D7:D48">
      <formula1>"Activo,Propuesta,En Proceso,En Revisión,Aprobado,Facturado,Cancelado,Completado"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4" width="22.0"/>
    <col customWidth="1" min="5" max="8" width="18.0"/>
    <col customWidth="1" min="9" max="9" width="33.43"/>
    <col customWidth="1" min="10" max="10" width="25.43"/>
    <col customWidth="1" min="11" max="26" width="8.71"/>
  </cols>
  <sheetData>
    <row r="1" ht="30.0" customHeight="1">
      <c r="A1" s="1" t="s">
        <v>116</v>
      </c>
      <c r="B1" s="2"/>
      <c r="C1" s="2"/>
      <c r="D1" s="2"/>
      <c r="E1" s="2"/>
      <c r="F1" s="2"/>
      <c r="G1" s="2"/>
      <c r="H1" s="3"/>
    </row>
    <row r="2" ht="18.0" customHeight="1">
      <c r="A2" s="101" t="s">
        <v>117</v>
      </c>
      <c r="B2" s="2"/>
      <c r="C2" s="2"/>
      <c r="D2" s="2"/>
      <c r="E2" s="2"/>
      <c r="F2" s="2"/>
      <c r="G2" s="2"/>
      <c r="H2" s="3"/>
    </row>
    <row r="3" ht="18.0" customHeight="1">
      <c r="A3" s="8" t="s">
        <v>118</v>
      </c>
      <c r="B3" s="103">
        <f>'Proyectos de Venta'!$B$4</f>
        <v>1550</v>
      </c>
      <c r="C3" s="104" t="s">
        <v>123</v>
      </c>
    </row>
    <row r="4" ht="18.0" customHeight="1">
      <c r="A4" s="8" t="s">
        <v>4</v>
      </c>
      <c r="B4" s="106">
        <f>'Proyectos de Venta'!$D$4</f>
        <v>0.21</v>
      </c>
      <c r="C4" s="107" t="s">
        <v>127</v>
      </c>
    </row>
    <row r="5" ht="18.0" customHeight="1">
      <c r="A5" s="8" t="s">
        <v>128</v>
      </c>
      <c r="B5" s="108">
        <f>'Proyectos de Venta'!$F$4</f>
        <v>0.46</v>
      </c>
      <c r="C5" s="104" t="s">
        <v>129</v>
      </c>
    </row>
    <row r="6" ht="18.0" customHeight="1">
      <c r="A6" s="8" t="s">
        <v>6</v>
      </c>
      <c r="B6" s="106">
        <f>'Proyectos de Venta'!$H$4</f>
        <v>0.3</v>
      </c>
      <c r="C6" s="107" t="s">
        <v>131</v>
      </c>
    </row>
    <row r="7" ht="18.0" customHeight="1">
      <c r="A7" s="8" t="s">
        <v>10</v>
      </c>
      <c r="B7" s="108">
        <f>'Proyectos de Venta'!$B$5</f>
        <v>0.3</v>
      </c>
      <c r="C7" s="104" t="s">
        <v>132</v>
      </c>
    </row>
    <row r="8" ht="18.0" customHeight="1">
      <c r="A8" s="8" t="s">
        <v>11</v>
      </c>
      <c r="B8" s="106">
        <f>'Proyectos de Venta'!$D$5</f>
        <v>0.1</v>
      </c>
      <c r="C8" s="107" t="s">
        <v>133</v>
      </c>
    </row>
    <row r="9" ht="18.0" customHeight="1">
      <c r="A9" s="8" t="s">
        <v>134</v>
      </c>
      <c r="B9" s="109">
        <f>'Proyectos de Venta'!$F$5</f>
        <v>12</v>
      </c>
      <c r="C9" s="104" t="s">
        <v>135</v>
      </c>
    </row>
    <row r="10" ht="18.0" customHeight="1">
      <c r="A10" s="8" t="s">
        <v>136</v>
      </c>
      <c r="B10" s="110">
        <f>'Proyectos de Venta'!$H$5</f>
        <v>0</v>
      </c>
      <c r="C10" s="107" t="s">
        <v>138</v>
      </c>
    </row>
    <row r="12" ht="21.75" customHeight="1">
      <c r="A12" s="111" t="s">
        <v>139</v>
      </c>
      <c r="B12" s="2"/>
      <c r="C12" s="2"/>
      <c r="D12" s="2"/>
      <c r="E12" s="2"/>
      <c r="F12" s="2"/>
      <c r="G12" s="2"/>
      <c r="H12" s="3"/>
    </row>
    <row r="13" ht="18.0" customHeight="1">
      <c r="A13" s="112" t="s">
        <v>142</v>
      </c>
      <c r="B13" s="112" t="s">
        <v>143</v>
      </c>
      <c r="C13" s="112"/>
      <c r="D13" s="112" t="s">
        <v>142</v>
      </c>
      <c r="E13" s="112" t="s">
        <v>143</v>
      </c>
      <c r="F13" s="112"/>
      <c r="G13" s="112" t="s">
        <v>142</v>
      </c>
      <c r="H13" s="112" t="s">
        <v>143</v>
      </c>
    </row>
    <row r="14" ht="21.75" customHeight="1">
      <c r="A14" s="8" t="s">
        <v>144</v>
      </c>
      <c r="B14" s="113">
        <f>'Proyectos de Venta'!F44</f>
        <v>0</v>
      </c>
      <c r="D14" s="8" t="s">
        <v>145</v>
      </c>
      <c r="E14" s="114">
        <f>'Proyectos de Venta'!G44</f>
        <v>0</v>
      </c>
      <c r="G14" s="8" t="s">
        <v>146</v>
      </c>
      <c r="H14" s="114">
        <f>'Proyectos de Venta'!I44</f>
        <v>0</v>
      </c>
    </row>
    <row r="15" ht="21.75" customHeight="1">
      <c r="A15" s="8" t="s">
        <v>147</v>
      </c>
      <c r="B15" s="114">
        <f>'Proyectos de Venta'!M44</f>
        <v>0</v>
      </c>
      <c r="D15" s="8" t="s">
        <v>148</v>
      </c>
      <c r="E15" s="115">
        <f>'Proyectos de Venta'!N44</f>
        <v>0</v>
      </c>
      <c r="G15" s="8" t="s">
        <v>149</v>
      </c>
      <c r="H15" s="116">
        <f>'Proyectos de Venta'!J44</f>
        <v>0.46</v>
      </c>
    </row>
    <row r="18" ht="6.0" customHeight="1"/>
    <row r="19" ht="21.75" customHeight="1">
      <c r="A19" s="117" t="s">
        <v>151</v>
      </c>
      <c r="B19" s="49"/>
      <c r="C19" s="49"/>
      <c r="D19" s="49"/>
      <c r="E19" s="49"/>
      <c r="F19" s="50"/>
    </row>
    <row r="20">
      <c r="A20" s="118" t="s">
        <v>152</v>
      </c>
      <c r="B20" s="119" t="s">
        <v>153</v>
      </c>
      <c r="C20" s="118" t="s">
        <v>155</v>
      </c>
      <c r="D20" s="118" t="s">
        <v>157</v>
      </c>
      <c r="E20" s="118" t="s">
        <v>158</v>
      </c>
      <c r="F20" s="118" t="s">
        <v>159</v>
      </c>
      <c r="G20" s="118" t="s">
        <v>160</v>
      </c>
      <c r="H20" s="118" t="s">
        <v>161</v>
      </c>
    </row>
    <row r="21" ht="19.5" customHeight="1">
      <c r="A21" s="120" t="s">
        <v>162</v>
      </c>
      <c r="B21" s="121">
        <f>'Proyectos de Venta'!$C$72</f>
        <v>0</v>
      </c>
      <c r="C21" s="122">
        <f>POWER(1+'Proyectos de Venta'!$B$5,('Proyectos de Venta'!$F$5/12))</f>
        <v>1.3</v>
      </c>
      <c r="D21" s="124">
        <f t="shared" ref="D21:D24" si="1">B21*C21</f>
        <v>0</v>
      </c>
      <c r="E21" s="91">
        <f>IFERROR(D21/'Proyectos de Venta'!$F$5,0)</f>
        <v>0</v>
      </c>
      <c r="F21" s="126">
        <f>E21*(1+'Proyectos de Venta'!$D$4)</f>
        <v>0</v>
      </c>
      <c r="G21" s="128">
        <f>IFERROR(E21/'Proyectos de Venta'!$B$4,0)</f>
        <v>0</v>
      </c>
      <c r="H21" s="130">
        <f>IFERROR('Proyectos de Venta'!N44/('Proyectos de Venta'!I44*C21),0)</f>
        <v>0</v>
      </c>
    </row>
    <row r="22" ht="19.5" customHeight="1">
      <c r="A22" s="131" t="s">
        <v>174</v>
      </c>
      <c r="B22" s="121">
        <f>'Proyectos de Venta'!$C$72</f>
        <v>0</v>
      </c>
      <c r="C22" s="122">
        <f>POWER(1+'Proyectos de Venta'!$B$5,1)</f>
        <v>1.3</v>
      </c>
      <c r="D22" s="124">
        <f t="shared" si="1"/>
        <v>0</v>
      </c>
      <c r="E22" s="91">
        <f>IFERROR(D22/12,0)</f>
        <v>0</v>
      </c>
      <c r="F22" s="126">
        <f>E22*(1+'Proyectos de Venta'!$D$4)</f>
        <v>0</v>
      </c>
      <c r="G22" s="128">
        <f>IFERROR(E22/'Proyectos de Venta'!$B$4,0)</f>
        <v>0</v>
      </c>
      <c r="H22" s="130">
        <f>IFERROR('Proyectos de Venta'!$N$44/('Proyectos de Venta'!$I$44*C22),0)</f>
        <v>0</v>
      </c>
    </row>
    <row r="23" ht="19.5" customHeight="1">
      <c r="A23" s="131" t="s">
        <v>180</v>
      </c>
      <c r="B23" s="121">
        <f>'Proyectos de Venta'!$C$72</f>
        <v>0</v>
      </c>
      <c r="C23" s="122">
        <f>POWER(1+'Proyectos de Venta'!$B$5,2)</f>
        <v>1.69</v>
      </c>
      <c r="D23" s="124">
        <f t="shared" si="1"/>
        <v>0</v>
      </c>
      <c r="E23" s="91">
        <f>IFERROR(D23/24,0)</f>
        <v>0</v>
      </c>
      <c r="F23" s="126">
        <f>E23*(1+'Proyectos de Venta'!$D$4)</f>
        <v>0</v>
      </c>
      <c r="G23" s="128">
        <f>IFERROR(E23/'Proyectos de Venta'!$B$4,0)</f>
        <v>0</v>
      </c>
      <c r="H23" s="130">
        <f>IFERROR('Proyectos de Venta'!$N$44/('Proyectos de Venta'!$I$44*C23),0)</f>
        <v>0</v>
      </c>
    </row>
    <row r="24" ht="19.5" customHeight="1">
      <c r="A24" s="131" t="s">
        <v>186</v>
      </c>
      <c r="B24" s="121">
        <f>'Proyectos de Venta'!$C$72</f>
        <v>0</v>
      </c>
      <c r="C24" s="122">
        <f>POWER(1+'Proyectos de Venta'!$B$5,3)</f>
        <v>2.197</v>
      </c>
      <c r="D24" s="124">
        <f t="shared" si="1"/>
        <v>0</v>
      </c>
      <c r="E24" s="91">
        <f>IFERROR(D24/36,0)</f>
        <v>0</v>
      </c>
      <c r="F24" s="126">
        <f>E24*(1+'Proyectos de Venta'!$D$4)</f>
        <v>0</v>
      </c>
      <c r="G24" s="128">
        <f>IFERROR(E24/'Proyectos de Venta'!$B$4,0)</f>
        <v>0</v>
      </c>
      <c r="H24" s="130">
        <f>IFERROR('Proyectos de Venta'!$N$44/('Proyectos de Venta'!$I$44*C24),0)</f>
        <v>0</v>
      </c>
    </row>
    <row r="25" ht="15.75" customHeight="1"/>
    <row r="26" ht="6.0" customHeight="1"/>
    <row r="27" ht="79.5" customHeight="1">
      <c r="A27" s="150" t="s">
        <v>191</v>
      </c>
      <c r="B27" s="152"/>
      <c r="C27" s="152"/>
      <c r="D27" s="152"/>
      <c r="E27" s="152"/>
      <c r="F27" s="152"/>
      <c r="G27" s="152"/>
      <c r="H27" s="154"/>
    </row>
    <row r="28" ht="15.75" customHeight="1">
      <c r="A28" s="156"/>
      <c r="H28" s="157"/>
    </row>
    <row r="29" ht="15.75" customHeight="1">
      <c r="A29" s="156"/>
      <c r="H29" s="157"/>
    </row>
    <row r="30" ht="15.75" customHeight="1">
      <c r="A30" s="159"/>
      <c r="B30" s="17"/>
      <c r="C30" s="17"/>
      <c r="D30" s="17"/>
      <c r="E30" s="17"/>
      <c r="F30" s="17"/>
      <c r="G30" s="17"/>
      <c r="H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H1"/>
    <mergeCell ref="A2:H2"/>
    <mergeCell ref="A12:H12"/>
    <mergeCell ref="A19:F19"/>
    <mergeCell ref="A27:H3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43"/>
    <col customWidth="1" min="2" max="2" width="19.43"/>
    <col customWidth="1" min="3" max="5" width="16.0"/>
    <col customWidth="1" min="6" max="6" width="12.71"/>
    <col customWidth="1" min="7" max="7" width="54.14"/>
    <col customWidth="1" min="8" max="26" width="8.71"/>
  </cols>
  <sheetData>
    <row r="1" ht="27.75" customHeight="1">
      <c r="A1" s="123" t="s">
        <v>164</v>
      </c>
      <c r="B1" s="2"/>
      <c r="C1" s="2"/>
      <c r="D1" s="2"/>
      <c r="E1" s="2"/>
      <c r="F1" s="2"/>
      <c r="G1" s="3"/>
    </row>
    <row r="2" ht="13.5" customHeight="1">
      <c r="A2" s="4" t="s">
        <v>167</v>
      </c>
      <c r="B2" s="2"/>
      <c r="C2" s="2"/>
      <c r="D2" s="2"/>
      <c r="E2" s="2"/>
      <c r="F2" s="2"/>
      <c r="G2" s="3"/>
    </row>
    <row r="3" ht="30.75" customHeight="1">
      <c r="A3" s="125" t="s">
        <v>170</v>
      </c>
      <c r="B3" s="127">
        <v>1000000.0</v>
      </c>
      <c r="C3" s="125" t="s">
        <v>4</v>
      </c>
      <c r="D3" s="129">
        <f>'Proyectos de Venta'!$D$4</f>
        <v>0.21</v>
      </c>
    </row>
    <row r="4" ht="31.5" customHeight="1">
      <c r="A4" s="20" t="s">
        <v>173</v>
      </c>
      <c r="B4" s="20" t="s">
        <v>5</v>
      </c>
      <c r="C4" s="20" t="s">
        <v>27</v>
      </c>
      <c r="D4" s="20" t="s">
        <v>28</v>
      </c>
      <c r="E4" s="20" t="s">
        <v>29</v>
      </c>
      <c r="F4" s="20" t="s">
        <v>175</v>
      </c>
      <c r="G4" s="20" t="s">
        <v>176</v>
      </c>
    </row>
    <row r="5" ht="19.5" customHeight="1">
      <c r="A5" s="132" t="s">
        <v>177</v>
      </c>
      <c r="B5" s="133">
        <v>0.25</v>
      </c>
      <c r="C5" s="134">
        <f t="shared" ref="C5:C12" si="1">$B$3/(1-B5)</f>
        <v>1333333.333</v>
      </c>
      <c r="D5" s="134">
        <f t="shared" ref="D5:D12" si="2">C5*(1+$D$3)</f>
        <v>1613333.333</v>
      </c>
      <c r="E5" s="135">
        <f t="shared" ref="E5:E12" si="3">C5-$B$3</f>
        <v>333333.3333</v>
      </c>
      <c r="F5" s="136">
        <f t="shared" ref="F5:F12" si="4">E5/$B$3</f>
        <v>0.3333333333</v>
      </c>
      <c r="G5" s="137" t="s">
        <v>181</v>
      </c>
    </row>
    <row r="6" ht="19.5" customHeight="1">
      <c r="A6" s="138" t="s">
        <v>182</v>
      </c>
      <c r="B6" s="133">
        <v>0.3</v>
      </c>
      <c r="C6" s="139">
        <f t="shared" si="1"/>
        <v>1428571.429</v>
      </c>
      <c r="D6" s="139">
        <f t="shared" si="2"/>
        <v>1728571.429</v>
      </c>
      <c r="E6" s="140">
        <f t="shared" si="3"/>
        <v>428571.4286</v>
      </c>
      <c r="F6" s="141">
        <f t="shared" si="4"/>
        <v>0.4285714286</v>
      </c>
      <c r="G6" s="142" t="s">
        <v>185</v>
      </c>
    </row>
    <row r="7" ht="19.5" customHeight="1">
      <c r="A7" s="143" t="s">
        <v>187</v>
      </c>
      <c r="B7" s="133">
        <v>0.35</v>
      </c>
      <c r="C7" s="144">
        <f t="shared" si="1"/>
        <v>1538461.538</v>
      </c>
      <c r="D7" s="144">
        <f t="shared" si="2"/>
        <v>1861538.462</v>
      </c>
      <c r="E7" s="145">
        <f t="shared" si="3"/>
        <v>538461.5385</v>
      </c>
      <c r="F7" s="146">
        <f t="shared" si="4"/>
        <v>0.5384615385</v>
      </c>
      <c r="G7" s="147" t="s">
        <v>189</v>
      </c>
    </row>
    <row r="8" ht="19.5" customHeight="1">
      <c r="A8" s="148" t="s">
        <v>190</v>
      </c>
      <c r="B8" s="133">
        <v>0.4</v>
      </c>
      <c r="C8" s="34">
        <f t="shared" si="1"/>
        <v>1666666.667</v>
      </c>
      <c r="D8" s="34">
        <f t="shared" si="2"/>
        <v>2016666.667</v>
      </c>
      <c r="E8" s="149">
        <f t="shared" si="3"/>
        <v>666666.6667</v>
      </c>
      <c r="F8" s="151">
        <f t="shared" si="4"/>
        <v>0.6666666667</v>
      </c>
      <c r="G8" s="153" t="s">
        <v>189</v>
      </c>
    </row>
    <row r="9" ht="19.5" customHeight="1">
      <c r="A9" s="155" t="s">
        <v>193</v>
      </c>
      <c r="B9" s="133">
        <v>0.46</v>
      </c>
      <c r="C9" s="158">
        <f t="shared" si="1"/>
        <v>1851851.852</v>
      </c>
      <c r="D9" s="158">
        <f t="shared" si="2"/>
        <v>2240740.741</v>
      </c>
      <c r="E9" s="39">
        <f t="shared" si="3"/>
        <v>851851.8519</v>
      </c>
      <c r="F9" s="160">
        <f t="shared" si="4"/>
        <v>0.8518518519</v>
      </c>
      <c r="G9" s="161" t="s">
        <v>195</v>
      </c>
    </row>
    <row r="10" ht="19.5" customHeight="1">
      <c r="A10" s="148" t="s">
        <v>196</v>
      </c>
      <c r="B10" s="133">
        <v>0.5</v>
      </c>
      <c r="C10" s="34">
        <f t="shared" si="1"/>
        <v>2000000</v>
      </c>
      <c r="D10" s="34">
        <f t="shared" si="2"/>
        <v>2420000</v>
      </c>
      <c r="E10" s="149">
        <f t="shared" si="3"/>
        <v>1000000</v>
      </c>
      <c r="F10" s="151">
        <f t="shared" si="4"/>
        <v>1</v>
      </c>
      <c r="G10" s="153" t="s">
        <v>197</v>
      </c>
    </row>
    <row r="11" ht="19.5" customHeight="1">
      <c r="A11" s="143" t="s">
        <v>198</v>
      </c>
      <c r="B11" s="133">
        <v>0.55</v>
      </c>
      <c r="C11" s="144">
        <f t="shared" si="1"/>
        <v>2222222.222</v>
      </c>
      <c r="D11" s="144">
        <f t="shared" si="2"/>
        <v>2688888.889</v>
      </c>
      <c r="E11" s="145">
        <f t="shared" si="3"/>
        <v>1222222.222</v>
      </c>
      <c r="F11" s="146">
        <f t="shared" si="4"/>
        <v>1.222222222</v>
      </c>
      <c r="G11" s="147" t="s">
        <v>197</v>
      </c>
    </row>
    <row r="12" ht="19.5" customHeight="1">
      <c r="A12" s="148" t="s">
        <v>200</v>
      </c>
      <c r="B12" s="133">
        <v>0.6</v>
      </c>
      <c r="C12" s="34">
        <f t="shared" si="1"/>
        <v>2500000</v>
      </c>
      <c r="D12" s="34">
        <f t="shared" si="2"/>
        <v>3025000</v>
      </c>
      <c r="E12" s="149">
        <f t="shared" si="3"/>
        <v>1500000</v>
      </c>
      <c r="F12" s="151">
        <f t="shared" si="4"/>
        <v>1.5</v>
      </c>
      <c r="G12" s="153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